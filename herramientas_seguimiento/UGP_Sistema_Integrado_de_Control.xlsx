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LEEME" sheetId="1" state="visible" r:id="rId3"/>
    <sheet name="Tablero" sheetId="2" state="visible" r:id="rId4"/>
    <sheet name="Parametros" sheetId="3" state="visible" r:id="rId5"/>
    <sheet name="Controles" sheetId="4" state="visible" r:id="rId6"/>
    <sheet name="P1_Resultados" sheetId="5" state="visible" r:id="rId7"/>
    <sheet name="P1_POA" sheetId="6" state="visible" r:id="rId8"/>
    <sheet name="P1_Avance_FF" sheetId="7" state="visible" r:id="rId9"/>
    <sheet name="P1_Riesgos" sheetId="8" state="visible" r:id="rId10"/>
    <sheet name="P2_Focalizacion" sheetId="9" state="visible" r:id="rId11"/>
    <sheet name="F1_Presupuesto_PEP" sheetId="10" state="visible" r:id="rId12"/>
    <sheet name="F2_Ejecucion" sheetId="11" state="visible" r:id="rId13"/>
    <sheet name="F3_Desembolsos" sheetId="12" state="visible" r:id="rId14"/>
    <sheet name="F3_Plan_Financiero" sheetId="13" state="visible" r:id="rId15"/>
    <sheet name="F4_Plan_Adquisiciones" sheetId="14" state="visible" r:id="rId16"/>
    <sheet name="F5_Contratos" sheetId="15" state="visible" r:id="rId17"/>
    <sheet name="F6_Auditoria" sheetId="16" state="visible" r:id="rId18"/>
    <sheet name="N1_Cumplimiento" sheetId="17" state="visible" r:id="rId19"/>
    <sheet name="A1_Equipo" sheetId="18" state="visible" r:id="rId20"/>
    <sheet name="A1_RACI" sheetId="19" state="visible" r:id="rId21"/>
    <sheet name="A2_Misiones_BID" sheetId="20" state="visible" r:id="rId22"/>
    <sheet name="A3_No_Objeciones" sheetId="21" state="visible" r:id="rId23"/>
    <sheet name="A4_Interesados" sheetId="22" state="visible" r:id="rId24"/>
    <sheet name="A5_Calendario_Informes" sheetId="23" state="visible" r:id="rId25"/>
    <sheet name="A6_Informe_Mensual" sheetId="24" state="visible" r:id="rId26"/>
    <sheet name="Listas" sheetId="25" state="visible" r:id="rId27"/>
  </sheets>
  <definedNames>
    <definedName function="false" hidden="true" localSheetId="20" name="_xlnm._FilterDatabase" vbProcedure="false">A3_No_Objeciones!$A$4:$J$17</definedName>
    <definedName function="false" hidden="true" localSheetId="21" name="_xlnm._FilterDatabase" vbProcedure="false">A4_Interesados!$A$4:$K$17</definedName>
    <definedName function="false" hidden="true" localSheetId="10" name="_xlnm._FilterDatabase" vbProcedure="false">F2_Ejecucion!$A$4:$N$88</definedName>
    <definedName function="false" hidden="true" localSheetId="11" name="_xlnm._FilterDatabase" vbProcedure="false">F3_Desembolsos!$A$4:$I$9</definedName>
    <definedName function="false" hidden="true" localSheetId="13" name="_xlnm._FilterDatabase" vbProcedure="false">F4_Plan_Adquisiciones!$A$4:$P$24</definedName>
    <definedName function="false" hidden="true" localSheetId="14" name="_xlnm._FilterDatabase" vbProcedure="false">F5_Contratos!$A$4:$P$20</definedName>
    <definedName function="false" hidden="true" localSheetId="16" name="_xlnm._FilterDatabase" vbProcedure="false">N1_Cumplimiento!$A$4:$L$23</definedName>
    <definedName function="false" hidden="true" localSheetId="5" name="_xlnm._FilterDatabase" vbProcedure="false">P1_POA!$A$4:$S$28</definedName>
    <definedName function="false" hidden="true" localSheetId="4" name="_xlnm._FilterDatabase" vbProcedure="false">P1_Resultados!$A$4:$T$22</definedName>
    <definedName function="false" hidden="true" localSheetId="7" name="_xlnm._FilterDatabase" vbProcedure="false">P1_Riesgos!$A$4:$T$19</definedName>
    <definedName function="false" hidden="true" localSheetId="8" name="_xlnm._FilterDatabase" vbProcedure="false">P2_Focalizacion!$A$4:$R$18</definedName>
    <definedName function="false" hidden="false" name="Anio_Programa" vbProcedure="false">Parametros!$C$17</definedName>
    <definedName function="false" hidden="false" name="Dias_Alerta" vbProcedure="false">Parametros!$C$28</definedName>
    <definedName function="false" hidden="false" name="Duracion_Anios" vbProcedure="false">Parametros!$C$14</definedName>
    <definedName function="false" hidden="false" name="Estado_Controles" vbProcedure="false">Controles!$C$22</definedName>
    <definedName function="false" hidden="false" name="EVM_Amarillo" vbProcedure="false">Parametros!$C$25</definedName>
    <definedName function="false" hidden="false" name="EVM_Verde" vbProcedure="false">Parametros!$C$24</definedName>
    <definedName function="false" hidden="false" name="Fecha_Corte" vbProcedure="false">Parametros!$C$16</definedName>
    <definedName function="false" hidden="false" name="Fecha_Inicio" vbProcedure="false">Parametros!$C$15</definedName>
    <definedName function="false" hidden="false" name="Frac_Anio" vbProcedure="false">Parametros!$C$18</definedName>
    <definedName function="false" hidden="false" name="Inicio_Consultoria" vbProcedure="false">Parametros!$C$19</definedName>
    <definedName function="false" hidden="false" name="Meta_Benef_5A" vbProcedure="false">Parametros!$C$38</definedName>
    <definedName function="false" hidden="false" name="Pago_Mensual" vbProcedure="false">Parametros!$C$20</definedName>
    <definedName function="false" hidden="false" name="Pct_Anio1_Benef" vbProcedure="false">Parametros!$C$37</definedName>
    <definedName function="false" hidden="false" name="Pct_Justif_Min" vbProcedure="false">Parametros!$C$29</definedName>
    <definedName function="false" hidden="false" name="Plazo_EEFF" vbProcedure="false">Parametros!$C$31</definedName>
    <definedName function="false" hidden="false" name="Plazo_Informe" vbProcedure="false">Parametros!$C$21</definedName>
    <definedName function="false" hidden="false" name="Plazo_NO" vbProcedure="false">Parametros!$C$30</definedName>
    <definedName function="false" hidden="false" name="Prior_Alta" vbProcedure="false">Parametros!$C$35</definedName>
    <definedName function="false" hidden="false" name="Prior_Media" vbProcedure="false">Parametros!$C$36</definedName>
    <definedName function="false" hidden="false" name="Riesgo_Alto" vbProcedure="false">Parametros!$C$26</definedName>
    <definedName function="false" hidden="false" name="Riesgo_Medio" vbProcedure="false">Parametros!$C$27</definedName>
    <definedName function="false" hidden="false" name="Total_Donacion" vbProcedure="false">Parametros!$C$12</definedName>
    <definedName function="false" hidden="false" name="Total_Prestamo" vbProcedure="false">Parametros!$C$11</definedName>
    <definedName function="false" hidden="false" name="Total_Programa" vbProcedure="false">Parametros!$C$13</definedName>
    <definedName function="false" hidden="false" name="Umbral_Amarillo" vbProcedure="false">Parametros!$C$23</definedName>
    <definedName function="false" hidden="false" name="Umbral_Verde" vbProcedure="false">Parametros!$C$22</definedName>
    <definedName function="false" hidden="false" name="W_Brecha" vbProcedure="false">Parametros!$C$34</definedName>
    <definedName function="false" hidden="false" name="W_Pob" vbProcedure="false">Parametros!$C$33</definedName>
    <definedName function="false" hidden="false" name="W_Vuln" vbProcedure="false">Parametros!$C$32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<sst xmlns="http://schemas.openxmlformats.org/spreadsheetml/2006/main" count="3249" uniqueCount="1389">
  <si>
    <t xml:space="preserve">Sistema integrado de control de la UGP — LÉEME</t>
  </si>
  <si>
    <t xml:space="preserve">DATOS SIMULADOS con fines de demostración metodológica — no son cifras reales del BID ni de la Dirección de Integración.</t>
  </si>
  <si>
    <t xml:space="preserve">Qué es</t>
  </si>
  <si>
    <t xml:space="preserve">Libro de control de ejecución para la Unidad Gestora del Programa (UGP) del Programa de Integración Académica y Comunitaria para Jóvenes en El Salvador (operaciones BID ES-L1175 / ES-J0003; Contrato de Préstamo 6153/OC-ES por US$100 M y Convenio no reembolsable 6154/GR-ES por US$4 M). Organiza el ciclo del TDR en cuatro pilares: planificación y control integral, gestión fiduciaria, cumplimiento normativo y articulación y reporte.</t>
  </si>
  <si>
    <t xml:space="preserve">ADVERTENCIA: todos los datos son SIMULADOS y la estructura de componentes es ILUSTRATIVA. Se tomaron del TDR solo los montos, números de operación y condiciones de la consultoría. Antes de usarlo con datos reales hay que contrastarlo con el Contrato de Préstamo, el MOP, el PEP, el Plan de Adquisiciones y los sistemas del BID.</t>
  </si>
  <si>
    <t xml:space="preserve">Código de colores</t>
  </si>
  <si>
    <t xml:space="preserve">Texto azul = dato que se ingresa o edita</t>
  </si>
  <si>
    <t xml:space="preserve">Texto negro sobre gris = fórmula (no editar)</t>
  </si>
  <si>
    <t xml:space="preserve">Semáforo verde / amarillo / rojo = según los umbrales de la hoja Parametros</t>
  </si>
  <si>
    <t xml:space="preserve">Ciclo de cierre mensual (informe a más tardar 3 días hábiles tras el cierre)</t>
  </si>
  <si>
    <t xml:space="preserve">1. Registrar los gastos del mes en F2_Ejecucion y los desembolsos en F3_Desembolsos.</t>
  </si>
  <si>
    <t xml:space="preserve">2. Actualizar % de avance físico en P1_POA, valores actuales en P1_Resultados y estados en F4/F5.</t>
  </si>
  <si>
    <t xml:space="preserve">3. Actualizar riesgos (P1_Riesgos), cumplimiento (N1), compromisos y No Objeciones (A2, A3).</t>
  </si>
  <si>
    <t xml:space="preserve">4. Cambiar la fecha de corte en Parametros y revisar la hoja Controles (debe decir TODOS LOS CONTROLES OK).</t>
  </si>
  <si>
    <t xml:space="preserve">5. Leer el Tablero y A6_Informe_Mensual; redactar logros, decisiones y prioridades; emitir el informe (P2-P11).</t>
  </si>
  <si>
    <t xml:space="preserve">6. Archivar evidencias y actualizar A5_Calendario_Informes.</t>
  </si>
  <si>
    <t xml:space="preserve">Índice de hojas</t>
  </si>
  <si>
    <t xml:space="preserve">Hoja</t>
  </si>
  <si>
    <t xml:space="preserve">Pilar</t>
  </si>
  <si>
    <t xml:space="preserve">Qué hace</t>
  </si>
  <si>
    <t xml:space="preserve">Mantiene</t>
  </si>
  <si>
    <t xml:space="preserve">Frecuencia</t>
  </si>
  <si>
    <t xml:space="preserve">Tablero</t>
  </si>
  <si>
    <t xml:space="preserve">Base</t>
  </si>
  <si>
    <t xml:space="preserve">Semáforos ejecutivos, mapa de calor de riesgos y gráficos</t>
  </si>
  <si>
    <t xml:space="preserve">Esp. Planificación</t>
  </si>
  <si>
    <t xml:space="preserve">Mensual</t>
  </si>
  <si>
    <t xml:space="preserve">Parametros</t>
  </si>
  <si>
    <t xml:space="preserve">Datos del TDR, fecha de corte, umbrales y pesos</t>
  </si>
  <si>
    <t xml:space="preserve">Coordinador General</t>
  </si>
  <si>
    <t xml:space="preserve">Mensual (fecha de corte)</t>
  </si>
  <si>
    <t xml:space="preserve">Controles</t>
  </si>
  <si>
    <t xml:space="preserve">16 pruebas automáticas de consistencia entre hojas</t>
  </si>
  <si>
    <t xml:space="preserve">Mensual, antes del informe</t>
  </si>
  <si>
    <t xml:space="preserve">P1_Resultados</t>
  </si>
  <si>
    <t xml:space="preserve">1 Planificación y control</t>
  </si>
  <si>
    <t xml:space="preserve">Matriz de resultados: metas anuales, esperado al corte, cumplimiento y semáforo</t>
  </si>
  <si>
    <t xml:space="preserve">Mensual / anual</t>
  </si>
  <si>
    <t xml:space="preserve">P1_POA</t>
  </si>
  <si>
    <t xml:space="preserve">POA e hitos con valor ganado (EV, PV, AC, SPI, CPI) por actividad</t>
  </si>
  <si>
    <t xml:space="preserve">P1_Avance_FF</t>
  </si>
  <si>
    <t xml:space="preserve">Avance físico y financiero consolidado por componente</t>
  </si>
  <si>
    <t xml:space="preserve">P1_Riesgos</t>
  </si>
  <si>
    <t xml:space="preserve">Registro de riesgos, puntaje P×I, respuesta y riesgo residual</t>
  </si>
  <si>
    <t xml:space="preserve">P2_Focalizacion</t>
  </si>
  <si>
    <t xml:space="preserve">Metas, cobertura, índice de focalización e inversión por departamento</t>
  </si>
  <si>
    <t xml:space="preserve">Esp. Social</t>
  </si>
  <si>
    <t xml:space="preserve">F1_Presupuesto_PEP</t>
  </si>
  <si>
    <t xml:space="preserve">2 Gestión fiduciaria</t>
  </si>
  <si>
    <t xml:space="preserve">Presupuesto por componente y fuente, PEP a 5 años y ejecución</t>
  </si>
  <si>
    <t xml:space="preserve">Esp. Financiero</t>
  </si>
  <si>
    <t xml:space="preserve">Trimestral</t>
  </si>
  <si>
    <t xml:space="preserve">F2_Ejecucion</t>
  </si>
  <si>
    <t xml:space="preserve">Libro de gastos: fuente única de la ejecución</t>
  </si>
  <si>
    <t xml:space="preserve">Continua</t>
  </si>
  <si>
    <t xml:space="preserve">F3_Desembolsos</t>
  </si>
  <si>
    <t xml:space="preserve">Solicitudes de desembolso y control del anticipo (umbral de justificación)</t>
  </si>
  <si>
    <t xml:space="preserve">Quincenal / mensual</t>
  </si>
  <si>
    <t xml:space="preserve">F3_Plan_Financiero</t>
  </si>
  <si>
    <t xml:space="preserve">Gasto proyectado vs. real por trimestre</t>
  </si>
  <si>
    <t xml:space="preserve">F4_Plan_Adquisiciones</t>
  </si>
  <si>
    <t xml:space="preserve">Plan de adquisiciones, métodos, estados, desvíos y alertas</t>
  </si>
  <si>
    <t xml:space="preserve">Esp. Adquisiciones</t>
  </si>
  <si>
    <t xml:space="preserve">Semanal</t>
  </si>
  <si>
    <t xml:space="preserve">F5_Contratos</t>
  </si>
  <si>
    <t xml:space="preserve">Contratos, pagos, saldos y vigencias</t>
  </si>
  <si>
    <t xml:space="preserve">F6_Auditoria</t>
  </si>
  <si>
    <t xml:space="preserve">Plan de auditoría y seguimiento de recomendaciones</t>
  </si>
  <si>
    <t xml:space="preserve">N1_Cumplimiento</t>
  </si>
  <si>
    <t xml:space="preserve">3 Cumplimiento normativo</t>
  </si>
  <si>
    <t xml:space="preserve">Matriz de cumplimiento contractual, del MOP y de políticas BID, con alertas</t>
  </si>
  <si>
    <t xml:space="preserve">A1_Equipo</t>
  </si>
  <si>
    <t xml:space="preserve">4 Articulación y reporte</t>
  </si>
  <si>
    <t xml:space="preserve">Plazas de la UGP, estado de contratación y funciones</t>
  </si>
  <si>
    <t xml:space="preserve">Cuando cambie</t>
  </si>
  <si>
    <t xml:space="preserve">A1_RACI</t>
  </si>
  <si>
    <t xml:space="preserve">Matriz de responsabilidades de los 14 procesos de la UGP</t>
  </si>
  <si>
    <t xml:space="preserve">A2_Misiones_BID</t>
  </si>
  <si>
    <t xml:space="preserve">Misiones del BID y matriz de compromisos con atraso</t>
  </si>
  <si>
    <t xml:space="preserve">Por misión / mensual</t>
  </si>
  <si>
    <t xml:space="preserve">A3_No_Objeciones</t>
  </si>
  <si>
    <t xml:space="preserve">Registro de No Objeciones y días de trámite</t>
  </si>
  <si>
    <t xml:space="preserve">A4_Interesados</t>
  </si>
  <si>
    <t xml:space="preserve">Interesados, poder/interés y estrategia de comunicación</t>
  </si>
  <si>
    <t xml:space="preserve">A5_Calendario_Informes</t>
  </si>
  <si>
    <t xml:space="preserve">Productos P1-P12 de la consultoría: fechas límite y pago habilitado</t>
  </si>
  <si>
    <t xml:space="preserve">A6_Informe_Mensual</t>
  </si>
  <si>
    <t xml:space="preserve">Borrador automático del informe mensual (contenido mínimo del TDR)</t>
  </si>
  <si>
    <t xml:space="preserve">Listas</t>
  </si>
  <si>
    <t xml:space="preserve">Listas desplegables</t>
  </si>
  <si>
    <t xml:space="preserve">Tablero de control de la UGP — Programa de Integración Académica y Comunitaria para Jóvenes</t>
  </si>
  <si>
    <t xml:space="preserve">Fecha de corte:</t>
  </si>
  <si>
    <t xml:space="preserve">Indicador clave</t>
  </si>
  <si>
    <t xml:space="preserve">Valor</t>
  </si>
  <si>
    <t xml:space="preserve">Referencia</t>
  </si>
  <si>
    <t xml:space="preserve">Semáforo</t>
  </si>
  <si>
    <t xml:space="preserve">Presupuesto total del Programa (USD)</t>
  </si>
  <si>
    <t xml:space="preserve">Ejecutado acumulado (USD)</t>
  </si>
  <si>
    <t xml:space="preserve">% ejecutado sobre el total del Programa</t>
  </si>
  <si>
    <t xml:space="preserve">Avance físico del POA (real vs. planificado a la fecha)</t>
  </si>
  <si>
    <t xml:space="preserve">Avance financiero del POA (ejecutado / presupuesto POA)</t>
  </si>
  <si>
    <t xml:space="preserve">SPI — índice de desempeño del cronograma</t>
  </si>
  <si>
    <t xml:space="preserve">CPI — índice de desempeño del costo</t>
  </si>
  <si>
    <t xml:space="preserve">Total desembolsado por el BID (USD)</t>
  </si>
  <si>
    <t xml:space="preserve">% de anticipos justificado</t>
  </si>
  <si>
    <t xml:space="preserve">Procesos de adquisición atrasados</t>
  </si>
  <si>
    <t xml:space="preserve">No Objeciones pendientes fuera del plazo de referencia</t>
  </si>
  <si>
    <t xml:space="preserve">Compromisos con el BID vencidos</t>
  </si>
  <si>
    <t xml:space="preserve">Riesgos altos abiertos</t>
  </si>
  <si>
    <t xml:space="preserve">Obligaciones normativas vencidas</t>
  </si>
  <si>
    <t xml:space="preserve">% de cumplimiento de obligaciones exigibles</t>
  </si>
  <si>
    <t xml:space="preserve">Cobertura de la meta de beneficiarios del año 1 (vs. fracción del año)</t>
  </si>
  <si>
    <t xml:space="preserve">Mapa de calor de riesgos abiertos (n.º de riesgos por probabilidad × impacto)</t>
  </si>
  <si>
    <t xml:space="preserve">Impacto ↓  /  Probabilidad →</t>
  </si>
  <si>
    <t xml:space="preserve">Parámetros del Programa y del sistema de control</t>
  </si>
  <si>
    <t xml:space="preserve">Celdas azules = entradas editables. Las celdas con nombre (p. ej. Fecha_Corte) alimentan todas las hojas.</t>
  </si>
  <si>
    <t xml:space="preserve">Grupo</t>
  </si>
  <si>
    <t xml:space="preserve">Parámetro</t>
  </si>
  <si>
    <t xml:space="preserve">Unidad</t>
  </si>
  <si>
    <t xml:space="preserve">Nombre en fórmulas</t>
  </si>
  <si>
    <t xml:space="preserve">Fuente / nota</t>
  </si>
  <si>
    <t xml:space="preserve">Programa</t>
  </si>
  <si>
    <t xml:space="preserve">Programa de Integración Académica y Comunitaria para Jóvenes en El Salvador</t>
  </si>
  <si>
    <t xml:space="preserve">TDR, carátula</t>
  </si>
  <si>
    <t xml:space="preserve">Operaciones BID</t>
  </si>
  <si>
    <t xml:space="preserve">ES-L1175 y ES-J0003</t>
  </si>
  <si>
    <t xml:space="preserve">TDR; CCLIP ES-O0023</t>
  </si>
  <si>
    <t xml:space="preserve">Contrato de Préstamo</t>
  </si>
  <si>
    <t xml:space="preserve">6153/OC-ES</t>
  </si>
  <si>
    <t xml:space="preserve">TDR (el texto del usuario decía «6153 OCS»; el TDR dice 6153/OC-ES)</t>
  </si>
  <si>
    <t xml:space="preserve">Convenio de Financiamiento No Reembolsable</t>
  </si>
  <si>
    <t xml:space="preserve">6154/GR-ES</t>
  </si>
  <si>
    <t xml:space="preserve">TDR</t>
  </si>
  <si>
    <t xml:space="preserve">Resolución de aprobación BID</t>
  </si>
  <si>
    <t xml:space="preserve">DE-43/26 (24-jun-2026)</t>
  </si>
  <si>
    <t xml:space="preserve">TDR §I</t>
  </si>
  <si>
    <t xml:space="preserve">Organismo Ejecutor</t>
  </si>
  <si>
    <t xml:space="preserve">Dirección de Integración</t>
  </si>
  <si>
    <t xml:space="preserve">TDR; la UGP está adscrita a la Gerencia de Cooperación Institucional</t>
  </si>
  <si>
    <t xml:space="preserve">Monto del préstamo</t>
  </si>
  <si>
    <t xml:space="preserve">USD</t>
  </si>
  <si>
    <t xml:space="preserve">Total_Prestamo</t>
  </si>
  <si>
    <t xml:space="preserve">Monto de la donación</t>
  </si>
  <si>
    <t xml:space="preserve">Total_Donacion</t>
  </si>
  <si>
    <t xml:space="preserve">Total financiamiento BID</t>
  </si>
  <si>
    <t xml:space="preserve">Total_Programa</t>
  </si>
  <si>
    <t xml:space="preserve">Calculado</t>
  </si>
  <si>
    <t xml:space="preserve">Duración</t>
  </si>
  <si>
    <t xml:space="preserve">años</t>
  </si>
  <si>
    <t xml:space="preserve">Duracion_Anios</t>
  </si>
  <si>
    <t xml:space="preserve">Calendario</t>
  </si>
  <si>
    <t xml:space="preserve">Fecha de inicio de ejecución (SUPUESTO)</t>
  </si>
  <si>
    <t xml:space="preserve">fecha</t>
  </si>
  <si>
    <t xml:space="preserve">Fecha_Inicio</t>
  </si>
  <si>
    <t xml:space="preserve">Supuesto de la demo: la fecha real depende de la entrada en vigencia</t>
  </si>
  <si>
    <t xml:space="preserve">Fecha de corte del reporte (SIMULADA)</t>
  </si>
  <si>
    <t xml:space="preserve">Fecha_Corte</t>
  </si>
  <si>
    <t xml:space="preserve">Cambie esta fecha y todo el sistema se recalcula</t>
  </si>
  <si>
    <t xml:space="preserve">Año del programa a la fecha de corte</t>
  </si>
  <si>
    <t xml:space="preserve">año</t>
  </si>
  <si>
    <t xml:space="preserve">Anio_Programa</t>
  </si>
  <si>
    <t xml:space="preserve">Fracción transcurrida del año del programa</t>
  </si>
  <si>
    <t xml:space="preserve">%</t>
  </si>
  <si>
    <t xml:space="preserve">Frac_Anio</t>
  </si>
  <si>
    <t xml:space="preserve">Inicio de la consultoría del Coordinador General (SUPUESTO)</t>
  </si>
  <si>
    <t xml:space="preserve">Inicio_Consultoria</t>
  </si>
  <si>
    <t xml:space="preserve">Supuesto: plazo de 12 meses desde la firma (TDR §VIII)</t>
  </si>
  <si>
    <t xml:space="preserve">Consultoría</t>
  </si>
  <si>
    <t xml:space="preserve">Honorario mensual del Coordinador General</t>
  </si>
  <si>
    <t xml:space="preserve">Pago_Mensual</t>
  </si>
  <si>
    <t xml:space="preserve">TDR §XII (US$50,400 en 12 pagos)</t>
  </si>
  <si>
    <t xml:space="preserve">Plazo de entrega del informe mensual</t>
  </si>
  <si>
    <t xml:space="preserve">días hábiles</t>
  </si>
  <si>
    <t xml:space="preserve">Plazo_Informe</t>
  </si>
  <si>
    <t xml:space="preserve">TDR §VII: tres días hábiles posteriores al cierre del mes</t>
  </si>
  <si>
    <t xml:space="preserve">Semáforos</t>
  </si>
  <si>
    <t xml:space="preserve">Indicadores: umbral verde (cumplimiento ≥)</t>
  </si>
  <si>
    <t xml:space="preserve">ratio</t>
  </si>
  <si>
    <t xml:space="preserve">Umbral_Verde</t>
  </si>
  <si>
    <t xml:space="preserve">Criterio de gestión propuesto</t>
  </si>
  <si>
    <t xml:space="preserve">Indicadores: umbral amarillo (cumplimiento ≥)</t>
  </si>
  <si>
    <t xml:space="preserve">Umbral_Amarillo</t>
  </si>
  <si>
    <t xml:space="preserve">SPI/CPI: umbral verde (≥)</t>
  </si>
  <si>
    <t xml:space="preserve">EVM_Verde</t>
  </si>
  <si>
    <t xml:space="preserve">SPI/CPI: umbral amarillo (≥)</t>
  </si>
  <si>
    <t xml:space="preserve">EVM_Amarillo</t>
  </si>
  <si>
    <t xml:space="preserve">Riesgo ALTO si probabilidad×impacto ≥</t>
  </si>
  <si>
    <t xml:space="preserve">puntos</t>
  </si>
  <si>
    <t xml:space="preserve">Riesgo_Alto</t>
  </si>
  <si>
    <t xml:space="preserve">Escala 1-5 × 1-5</t>
  </si>
  <si>
    <t xml:space="preserve">Riesgo MEDIO si probabilidad×impacto ≥</t>
  </si>
  <si>
    <t xml:space="preserve">Riesgo_Medio</t>
  </si>
  <si>
    <t xml:space="preserve">Alerta de vencimiento (días antes)</t>
  </si>
  <si>
    <t xml:space="preserve">días</t>
  </si>
  <si>
    <t xml:space="preserve">Dias_Alerta</t>
  </si>
  <si>
    <t xml:space="preserve">Fiduciario</t>
  </si>
  <si>
    <t xml:space="preserve">Justificación mínima de anticipos para pedir uno nuevo</t>
  </si>
  <si>
    <t xml:space="preserve">Pct_Justif_Min</t>
  </si>
  <si>
    <t xml:space="preserve">A VALIDAR con el Contrato de Préstamo / guía de gestión financiera del BID</t>
  </si>
  <si>
    <t xml:space="preserve">Plazo de referencia de trámite de No Objeción</t>
  </si>
  <si>
    <t xml:space="preserve">Plazo_NO</t>
  </si>
  <si>
    <t xml:space="preserve">Referencia INTERNA de la UGP, no un plazo del BID</t>
  </si>
  <si>
    <t xml:space="preserve">Plazo de entrega de EEFF auditados tras el cierre</t>
  </si>
  <si>
    <t xml:space="preserve">Plazo_EEFF</t>
  </si>
  <si>
    <t xml:space="preserve">A VALIDAR con el Contrato de Préstamo</t>
  </si>
  <si>
    <t xml:space="preserve">Focalización</t>
  </si>
  <si>
    <t xml:space="preserve">Peso de la vulnerabilidad en el índice</t>
  </si>
  <si>
    <t xml:space="preserve">peso</t>
  </si>
  <si>
    <t xml:space="preserve">W_Vuln</t>
  </si>
  <si>
    <t xml:space="preserve">Criterio propuesto (los pesos suman 1)</t>
  </si>
  <si>
    <t xml:space="preserve">Peso de la población objetivo en el índice</t>
  </si>
  <si>
    <t xml:space="preserve">W_Pob</t>
  </si>
  <si>
    <t xml:space="preserve">Criterio propuesto</t>
  </si>
  <si>
    <t xml:space="preserve">Peso de la brecha de cobertura en el índice</t>
  </si>
  <si>
    <t xml:space="preserve">W_Brecha</t>
  </si>
  <si>
    <t xml:space="preserve">Prioridad ALTA si índice ≥</t>
  </si>
  <si>
    <t xml:space="preserve">índice</t>
  </si>
  <si>
    <t xml:space="preserve">Prior_Alta</t>
  </si>
  <si>
    <t xml:space="preserve">Prioridad MEDIA si índice ≥</t>
  </si>
  <si>
    <t xml:space="preserve">Prior_Media</t>
  </si>
  <si>
    <t xml:space="preserve">Meta del año 1 como % de la meta a 5 años</t>
  </si>
  <si>
    <t xml:space="preserve">Pct_Anio1_Benef</t>
  </si>
  <si>
    <t xml:space="preserve">Supuesto de la demo</t>
  </si>
  <si>
    <t xml:space="preserve">Meta de beneficiarios a 5 años (SIMULADA)</t>
  </si>
  <si>
    <t xml:space="preserve">personas</t>
  </si>
  <si>
    <t xml:space="preserve">Meta_Benef_5A</t>
  </si>
  <si>
    <t xml:space="preserve">Dato sintético</t>
  </si>
  <si>
    <t xml:space="preserve">Controles de integridad del sistema</t>
  </si>
  <si>
    <t xml:space="preserve">Pruebas automáticas de consistencia entre hojas. Cualquier «REVISAR» debe corregirse antes de emitir el informe mensual.</t>
  </si>
  <si>
    <t xml:space="preserve">N.º</t>
  </si>
  <si>
    <t xml:space="preserve">Control</t>
  </si>
  <si>
    <t xml:space="preserve">Esperado</t>
  </si>
  <si>
    <t xml:space="preserve">Diferencia</t>
  </si>
  <si>
    <t xml:space="preserve">Estado</t>
  </si>
  <si>
    <t xml:space="preserve">Presupuesto por componentes = total del Programa (USD)</t>
  </si>
  <si>
    <t xml:space="preserve">Total préstamo asignado = monto del Contrato 6153/OC-ES</t>
  </si>
  <si>
    <t xml:space="preserve">Total donación asignada = monto del Convenio 6154/GR-ES</t>
  </si>
  <si>
    <t xml:space="preserve">Componentes cuyo PEP a 5 años no coincide con lo asignado</t>
  </si>
  <si>
    <t xml:space="preserve">Plan financiero del año 1 = presupuesto POA (USD)</t>
  </si>
  <si>
    <t xml:space="preserve">Ejecución acumulada ≤ presupuesto total (USD)</t>
  </si>
  <si>
    <t xml:space="preserve">Actividades POA con ejecutado &gt; presupuesto</t>
  </si>
  <si>
    <t xml:space="preserve">Contratos con pagos &gt; monto contratado</t>
  </si>
  <si>
    <t xml:space="preserve">Gastos cuyo componente no coincide con el de su actividad</t>
  </si>
  <si>
    <t xml:space="preserve">Gastos fuera del período [inicio, corte]</t>
  </si>
  <si>
    <t xml:space="preserve">Gastos con contrato inexistente en F5</t>
  </si>
  <si>
    <t xml:space="preserve">Gastos con actividad inexistente en el POA</t>
  </si>
  <si>
    <t xml:space="preserve">Pagos directos del libro = desembolsos por pago directo (USD)</t>
  </si>
  <si>
    <t xml:space="preserve">Meta nacional de beneficiarios = suma de departamentos</t>
  </si>
  <si>
    <t xml:space="preserve">Inversión territorializada ≤ ejecución total (USD)</t>
  </si>
  <si>
    <t xml:space="preserve">Procesos RACI sin una única «A»</t>
  </si>
  <si>
    <t xml:space="preserve">Resultado global</t>
  </si>
  <si>
    <t xml:space="preserve">P1 · Matriz de resultados e indicadores (marco lógico ilustrativo)</t>
  </si>
  <si>
    <t xml:space="preserve">Meta esperada al corte: acumulativa = interpolación lineal dentro del año · anual = meta × fracción del año · nivel = meta del año. Cumplimiento = valor actual / esperado. Los indicadores sin medición en el período quedan «Sin dato».</t>
  </si>
  <si>
    <t xml:space="preserve">ID</t>
  </si>
  <si>
    <t xml:space="preserve">Nivel</t>
  </si>
  <si>
    <t xml:space="preserve">Indicador</t>
  </si>
  <si>
    <t xml:space="preserve">Comp.</t>
  </si>
  <si>
    <t xml:space="preserve">Línea base</t>
  </si>
  <si>
    <t xml:space="preserve">Tipo de meta</t>
  </si>
  <si>
    <t xml:space="preserve">Meta año 1</t>
  </si>
  <si>
    <t xml:space="preserve">Meta año 2</t>
  </si>
  <si>
    <t xml:space="preserve">Meta año 3</t>
  </si>
  <si>
    <t xml:space="preserve">Meta año 4</t>
  </si>
  <si>
    <t xml:space="preserve">Meta año 5</t>
  </si>
  <si>
    <t xml:space="preserve">Meta final</t>
  </si>
  <si>
    <t xml:space="preserve">Valor actual</t>
  </si>
  <si>
    <t xml:space="preserve">Esperado al corte</t>
  </si>
  <si>
    <t xml:space="preserve">Cumplimiento</t>
  </si>
  <si>
    <t xml:space="preserve">Fuente de verificación</t>
  </si>
  <si>
    <t xml:space="preserve">Responsable</t>
  </si>
  <si>
    <t xml:space="preserve">I-01</t>
  </si>
  <si>
    <t xml:space="preserve">Resultado</t>
  </si>
  <si>
    <t xml:space="preserve">Beneficiarios que continúan en educación postsecundaria al 2.º año</t>
  </si>
  <si>
    <t xml:space="preserve">C2</t>
  </si>
  <si>
    <t xml:space="preserve">Sistema de información de trayectorias</t>
  </si>
  <si>
    <t xml:space="preserve">Anual</t>
  </si>
  <si>
    <t xml:space="preserve">Esp. Planificación, M&amp;S</t>
  </si>
  <si>
    <t xml:space="preserve">I-02</t>
  </si>
  <si>
    <t xml:space="preserve">Beneficiarios que se gradúan en el tiempo previsto</t>
  </si>
  <si>
    <t xml:space="preserve">Registros de las instituciones</t>
  </si>
  <si>
    <t xml:space="preserve">I-03</t>
  </si>
  <si>
    <t xml:space="preserve">Personas graduadas vinculadas al empleo formal en 12 meses</t>
  </si>
  <si>
    <t xml:space="preserve">C3</t>
  </si>
  <si>
    <t xml:space="preserve">Encuesta de seguimiento y registros de empleo</t>
  </si>
  <si>
    <t xml:space="preserve">P-01</t>
  </si>
  <si>
    <t xml:space="preserve">Producto</t>
  </si>
  <si>
    <t xml:space="preserve">Estudiantes de educación media con orientación vocacional (acum.)</t>
  </si>
  <si>
    <t xml:space="preserve">C1</t>
  </si>
  <si>
    <t xml:space="preserve">Acumulativa</t>
  </si>
  <si>
    <t xml:space="preserve">Registro de participantes</t>
  </si>
  <si>
    <t xml:space="preserve">P-02</t>
  </si>
  <si>
    <t xml:space="preserve">Jóvenes beneficiarios con apoyo y acompañamiento (acum.)</t>
  </si>
  <si>
    <t xml:space="preserve">P-03</t>
  </si>
  <si>
    <t xml:space="preserve">Madres jóvenes atendidas (acum.)</t>
  </si>
  <si>
    <t xml:space="preserve">P-04</t>
  </si>
  <si>
    <t xml:space="preserve">Personas con discapacidad atendidas (acum.)</t>
  </si>
  <si>
    <t xml:space="preserve">P-05</t>
  </si>
  <si>
    <t xml:space="preserve">Personas retornadas atendidas (acum.)</t>
  </si>
  <si>
    <t xml:space="preserve">P-06</t>
  </si>
  <si>
    <t xml:space="preserve">Convenios firmados con instituciones de educación postsecundaria (acum.)</t>
  </si>
  <si>
    <t xml:space="preserve">convenios</t>
  </si>
  <si>
    <t xml:space="preserve">C4</t>
  </si>
  <si>
    <t xml:space="preserve">Convenios archivados</t>
  </si>
  <si>
    <t xml:space="preserve">P-07</t>
  </si>
  <si>
    <t xml:space="preserve">Empleadores aliados activos (acum.)</t>
  </si>
  <si>
    <t xml:space="preserve">empleadores</t>
  </si>
  <si>
    <t xml:space="preserve">Alianzas firmadas</t>
  </si>
  <si>
    <t xml:space="preserve">P-08</t>
  </si>
  <si>
    <t xml:space="preserve">Instituciones con plan de fortalecimiento en implementación (acum.)</t>
  </si>
  <si>
    <t xml:space="preserve">instituciones</t>
  </si>
  <si>
    <t xml:space="preserve">Informes de capacitación</t>
  </si>
  <si>
    <t xml:space="preserve">P-09</t>
  </si>
  <si>
    <t xml:space="preserve">Sistema de información de trayectorias: módulos operativos</t>
  </si>
  <si>
    <t xml:space="preserve">Actas de recepción por módulo</t>
  </si>
  <si>
    <t xml:space="preserve">G-01</t>
  </si>
  <si>
    <t xml:space="preserve">Gestión</t>
  </si>
  <si>
    <t xml:space="preserve">Ejecución financiera acumulada del Programa (% del total)</t>
  </si>
  <si>
    <t xml:space="preserve">Todos</t>
  </si>
  <si>
    <t xml:space="preserve">G-02</t>
  </si>
  <si>
    <t xml:space="preserve">Avance físico ponderado del POA vigente</t>
  </si>
  <si>
    <t xml:space="preserve">G-03</t>
  </si>
  <si>
    <t xml:space="preserve">Procesos del Plan de Adquisiciones con contrato firmado</t>
  </si>
  <si>
    <t xml:space="preserve">G-04</t>
  </si>
  <si>
    <t xml:space="preserve">Informes mensuales entregados a tiempo</t>
  </si>
  <si>
    <t xml:space="preserve">UGP</t>
  </si>
  <si>
    <t xml:space="preserve">G-05</t>
  </si>
  <si>
    <t xml:space="preserve">Compromisos con el BID cumplidos en plazo</t>
  </si>
  <si>
    <t xml:space="preserve">Por misión</t>
  </si>
  <si>
    <t xml:space="preserve">G-06</t>
  </si>
  <si>
    <t xml:space="preserve">Quejas atendidas dentro del plazo del mecanismo</t>
  </si>
  <si>
    <t xml:space="preserve">C5</t>
  </si>
  <si>
    <t xml:space="preserve">Registro del mecanismo de quejas</t>
  </si>
  <si>
    <t xml:space="preserve">P1 · Plan Operativo Anual (POA) e hitos — avance físico y financiero por actividad</t>
  </si>
  <si>
    <t xml:space="preserve">Valor ganado: EV = presupuesto × % avance físico · PV = presupuesto × % planificado a la fecha de corte · AC = ejecutado (libro F2). SPI = EV/PV · CPI = EV/AC.</t>
  </si>
  <si>
    <t xml:space="preserve">Actividad</t>
  </si>
  <si>
    <t xml:space="preserve">Inicio</t>
  </si>
  <si>
    <t xml:space="preserve">Fin</t>
  </si>
  <si>
    <t xml:space="preserve">Presupuesto POA USD</t>
  </si>
  <si>
    <t xml:space="preserve">% avance físico</t>
  </si>
  <si>
    <t xml:space="preserve">% planificado a corte</t>
  </si>
  <si>
    <t xml:space="preserve">Ejecutado USD (AC)</t>
  </si>
  <si>
    <t xml:space="preserve">% ejecución financiera</t>
  </si>
  <si>
    <t xml:space="preserve">EV USD</t>
  </si>
  <si>
    <t xml:space="preserve">PV USD</t>
  </si>
  <si>
    <t xml:space="preserve">SPI</t>
  </si>
  <si>
    <t xml:space="preserve">CPI</t>
  </si>
  <si>
    <t xml:space="preserve">Días de atraso</t>
  </si>
  <si>
    <t xml:space="preserve">Hito / entregable</t>
  </si>
  <si>
    <t xml:space="preserve">C1-01</t>
  </si>
  <si>
    <t xml:space="preserve">Diseño del modelo de captación y orientación vocacional</t>
  </si>
  <si>
    <t xml:space="preserve">Modelo de captación aprobado</t>
  </si>
  <si>
    <t xml:space="preserve">C1-02</t>
  </si>
  <si>
    <t xml:space="preserve">Convenios con centros de educación media</t>
  </si>
  <si>
    <t xml:space="preserve">Convenios firmados con centros educativos</t>
  </si>
  <si>
    <t xml:space="preserve">C1-03</t>
  </si>
  <si>
    <t xml:space="preserve">Campaña nacional de difusión</t>
  </si>
  <si>
    <t xml:space="preserve">Campaña lanzada (fase 1)</t>
  </si>
  <si>
    <t xml:space="preserve">C1-04</t>
  </si>
  <si>
    <t xml:space="preserve">Plataforma de registro de aspirantes</t>
  </si>
  <si>
    <t xml:space="preserve">Plataforma en producción</t>
  </si>
  <si>
    <t xml:space="preserve">C1-05</t>
  </si>
  <si>
    <t xml:space="preserve">Ferias de orientación departamentales</t>
  </si>
  <si>
    <t xml:space="preserve">Primera feria realizada</t>
  </si>
  <si>
    <t xml:space="preserve">C2-01</t>
  </si>
  <si>
    <t xml:space="preserve">Esquema de apoyos y criterios de elegibilidad</t>
  </si>
  <si>
    <t xml:space="preserve">Esquema de apoyos aprobado (MOP)</t>
  </si>
  <si>
    <t xml:space="preserve">C2-02</t>
  </si>
  <si>
    <t xml:space="preserve">Selección de la primera cohorte</t>
  </si>
  <si>
    <t xml:space="preserve">Cohorte 1 seleccionada</t>
  </si>
  <si>
    <t xml:space="preserve">C2-03</t>
  </si>
  <si>
    <t xml:space="preserve">Apoyos económicos primera cohorte</t>
  </si>
  <si>
    <t xml:space="preserve">Primer pago de apoyos</t>
  </si>
  <si>
    <t xml:space="preserve">C2-04</t>
  </si>
  <si>
    <t xml:space="preserve">Acompañamiento socioeducativo (tutorías)</t>
  </si>
  <si>
    <t xml:space="preserve">Tutorías en marcha</t>
  </si>
  <si>
    <t xml:space="preserve">C2-05</t>
  </si>
  <si>
    <t xml:space="preserve">Servicios de accesibilidad para personas con discapacidad</t>
  </si>
  <si>
    <t xml:space="preserve">Servicios de accesibilidad contratados</t>
  </si>
  <si>
    <t xml:space="preserve">C2-06</t>
  </si>
  <si>
    <t xml:space="preserve">Atención a madres jóvenes y personas retornadas</t>
  </si>
  <si>
    <t xml:space="preserve">Protocolo de atención aprobado</t>
  </si>
  <si>
    <t xml:space="preserve">C3-01</t>
  </si>
  <si>
    <t xml:space="preserve">Diagnóstico de demanda laboral</t>
  </si>
  <si>
    <t xml:space="preserve">Informe de diagnóstico aprobado</t>
  </si>
  <si>
    <t xml:space="preserve">C3-02</t>
  </si>
  <si>
    <t xml:space="preserve">Alianzas con empleadores</t>
  </si>
  <si>
    <t xml:space="preserve">C3-03</t>
  </si>
  <si>
    <t xml:space="preserve">Rutas de vinculación laboral</t>
  </si>
  <si>
    <t xml:space="preserve">Rutas de vinculación validadas</t>
  </si>
  <si>
    <t xml:space="preserve">C3-04</t>
  </si>
  <si>
    <t xml:space="preserve">Piloto de prácticas profesionales</t>
  </si>
  <si>
    <t xml:space="preserve">Piloto iniciado</t>
  </si>
  <si>
    <t xml:space="preserve">C4-01</t>
  </si>
  <si>
    <t xml:space="preserve">Diagnóstico institucional y plan de fortalecimiento</t>
  </si>
  <si>
    <t xml:space="preserve">Plan de fortalecimiento aprobado</t>
  </si>
  <si>
    <t xml:space="preserve">C4-02</t>
  </si>
  <si>
    <t xml:space="preserve">Módulos 1-3 del sistema en uso</t>
  </si>
  <si>
    <t xml:space="preserve">C4-03</t>
  </si>
  <si>
    <t xml:space="preserve">Capacitación a instituciones de educación postsecundaria</t>
  </si>
  <si>
    <t xml:space="preserve">Primer ciclo de capacitaciones</t>
  </si>
  <si>
    <t xml:space="preserve">C4-04</t>
  </si>
  <si>
    <t xml:space="preserve">Equipamiento tecnológico</t>
  </si>
  <si>
    <t xml:space="preserve">Equipos entregados</t>
  </si>
  <si>
    <t xml:space="preserve">C5-01</t>
  </si>
  <si>
    <t xml:space="preserve">Conformación y operación de la UGP</t>
  </si>
  <si>
    <t xml:space="preserve">UGP completa y operando</t>
  </si>
  <si>
    <t xml:space="preserve">C5-02</t>
  </si>
  <si>
    <t xml:space="preserve">Plan de M&amp;E y línea base</t>
  </si>
  <si>
    <t xml:space="preserve">Línea base entregada</t>
  </si>
  <si>
    <t xml:space="preserve">C5-03</t>
  </si>
  <si>
    <t xml:space="preserve">Auditoría externa de estados financieros 2027</t>
  </si>
  <si>
    <t xml:space="preserve">Firma auditora contratada</t>
  </si>
  <si>
    <t xml:space="preserve">C5-04</t>
  </si>
  <si>
    <t xml:space="preserve">Gestión ambiental y social (marco y mecanismo de quejas)</t>
  </si>
  <si>
    <t xml:space="preserve">Mecanismo de quejas operativo</t>
  </si>
  <si>
    <t xml:space="preserve">C5-05</t>
  </si>
  <si>
    <t xml:space="preserve">Comunicación y gestión del conocimiento</t>
  </si>
  <si>
    <t xml:space="preserve">Plan de comunicación implementado</t>
  </si>
  <si>
    <t xml:space="preserve">P1 · Avance físico y financiero consolidado por componente (POA del año vigente)</t>
  </si>
  <si>
    <t xml:space="preserve">Lectura: SPI &lt; 1 = atraso físico frente a lo planificado; CPI &lt; 1 = se gastó más de lo que el avance físico justifica.</t>
  </si>
  <si>
    <t xml:space="preserve">Componente</t>
  </si>
  <si>
    <t xml:space="preserve">Presupuesto POA</t>
  </si>
  <si>
    <t xml:space="preserve">Ejecutado (AC)</t>
  </si>
  <si>
    <t xml:space="preserve">% financiero</t>
  </si>
  <si>
    <t xml:space="preserve">% físico ponderado</t>
  </si>
  <si>
    <t xml:space="preserve">% planificado</t>
  </si>
  <si>
    <t xml:space="preserve">EV</t>
  </si>
  <si>
    <t xml:space="preserve">PV</t>
  </si>
  <si>
    <t xml:space="preserve">Brecha físico − financiero</t>
  </si>
  <si>
    <t xml:space="preserve">N.º actividades</t>
  </si>
  <si>
    <t xml:space="preserve">N.º con alerta</t>
  </si>
  <si>
    <t xml:space="preserve">Acceso y orientación</t>
  </si>
  <si>
    <t xml:space="preserve">Permanencia y graduación</t>
  </si>
  <si>
    <t xml:space="preserve">Vinculación laboral y trayectorias</t>
  </si>
  <si>
    <t xml:space="preserve">Fortalecimiento institucional</t>
  </si>
  <si>
    <t xml:space="preserve">Administración, M&amp;E y auditoría</t>
  </si>
  <si>
    <t xml:space="preserve">TOTAL</t>
  </si>
  <si>
    <t xml:space="preserve">Presupuesto POA = actividades del año 1 (reconciliado con el PEP en la hoja Controles). Umbrales en Parametros (EVM_Verde / EVM_Amarillo).</t>
  </si>
  <si>
    <t xml:space="preserve">P1 · Registro y matriz de riesgos (técnicos, fiduciarios, institucionales, ambientales y sociales)</t>
  </si>
  <si>
    <t xml:space="preserve">Puntaje = probabilidad × impacto (escala 1-5). Las columnas S-T son auxiliares para el ranking del informe mensual.</t>
  </si>
  <si>
    <t xml:space="preserve">Categoría</t>
  </si>
  <si>
    <t xml:space="preserve">Riesgo</t>
  </si>
  <si>
    <t xml:space="preserve">Causa / disparador</t>
  </si>
  <si>
    <t xml:space="preserve">Prob. (1-5)</t>
  </si>
  <si>
    <t xml:space="preserve">Impacto (1-5)</t>
  </si>
  <si>
    <t xml:space="preserve">Puntaje</t>
  </si>
  <si>
    <t xml:space="preserve">Respuesta</t>
  </si>
  <si>
    <t xml:space="preserve">Acción de mitigación</t>
  </si>
  <si>
    <t xml:space="preserve">Fecha límite</t>
  </si>
  <si>
    <t xml:space="preserve">Prob. residual</t>
  </si>
  <si>
    <t xml:space="preserve">Impacto residual</t>
  </si>
  <si>
    <t xml:space="preserve">Puntaje residual</t>
  </si>
  <si>
    <t xml:space="preserve">Nivel residual</t>
  </si>
  <si>
    <t xml:space="preserve">Días a la fecha límite</t>
  </si>
  <si>
    <t xml:space="preserve">Aux. puntaje</t>
  </si>
  <si>
    <t xml:space="preserve">Ranking</t>
  </si>
  <si>
    <t xml:space="preserve">R-01</t>
  </si>
  <si>
    <t xml:space="preserve">Institucional</t>
  </si>
  <si>
    <t xml:space="preserve">Rotación o vacantes del personal clave de la UGP</t>
  </si>
  <si>
    <t xml:space="preserve">Contratos anuales y alta demanda de perfiles</t>
  </si>
  <si>
    <t xml:space="preserve">Mitigar</t>
  </si>
  <si>
    <t xml:space="preserve">Plan de sucesión, manual de funciones y prórrogas anticipadas</t>
  </si>
  <si>
    <t xml:space="preserve">En mitigación</t>
  </si>
  <si>
    <t xml:space="preserve">R-02</t>
  </si>
  <si>
    <t xml:space="preserve">Retrasos en adquisiciones por observaciones en las No Objeciones</t>
  </si>
  <si>
    <t xml:space="preserve">Expedientes incompletos o términos de referencia ambiguos</t>
  </si>
  <si>
    <t xml:space="preserve">Listas de verificación previas al envío, plantillas estándar y calendario de No Objeciones</t>
  </si>
  <si>
    <t xml:space="preserve">R-03</t>
  </si>
  <si>
    <t xml:space="preserve">Ejecución presupuestaria por debajo del PEP</t>
  </si>
  <si>
    <t xml:space="preserve">Retrasos físicos y de contratación</t>
  </si>
  <si>
    <t xml:space="preserve">Seguimiento mensual SPI/CPI y reprogramación trimestral con alertas tempranas</t>
  </si>
  <si>
    <t xml:space="preserve">Abierto</t>
  </si>
  <si>
    <t xml:space="preserve">R-04</t>
  </si>
  <si>
    <t xml:space="preserve">Justificación tardía de anticipos retrasa nuevos desembolsos</t>
  </si>
  <si>
    <t xml:space="preserve">Rendiciones atrasadas y soporte incompleto</t>
  </si>
  <si>
    <t xml:space="preserve">Justificación quincenal y control del umbral del 80 % de anticipos</t>
  </si>
  <si>
    <t xml:space="preserve">R-05</t>
  </si>
  <si>
    <t xml:space="preserve">Técnico</t>
  </si>
  <si>
    <t xml:space="preserve">Bajo alcance en departamentos de prioridad alta</t>
  </si>
  <si>
    <t xml:space="preserve">Barreras de acceso, difusión insuficiente en zonas rurales</t>
  </si>
  <si>
    <t xml:space="preserve">Focalización por índice, ferias departamentales y alianzas locales</t>
  </si>
  <si>
    <t xml:space="preserve">R-06</t>
  </si>
  <si>
    <t xml:space="preserve">Retraso en el desarrollo del sistema de información de trayectorias</t>
  </si>
  <si>
    <t xml:space="preserve">Requisitos cambiantes e integración con instituciones</t>
  </si>
  <si>
    <t xml:space="preserve">Entregas por módulos, pruebas tempranas y gobierno de requisitos</t>
  </si>
  <si>
    <t xml:space="preserve">R-07</t>
  </si>
  <si>
    <t xml:space="preserve">Débil articulación con instituciones de educación postsecundaria</t>
  </si>
  <si>
    <t xml:space="preserve">Capacidades y prioridades distintas</t>
  </si>
  <si>
    <t xml:space="preserve">Convenios con compromisos medibles y mesa de coordinación</t>
  </si>
  <si>
    <t xml:space="preserve">R-08</t>
  </si>
  <si>
    <t xml:space="preserve">Ambiental y social</t>
  </si>
  <si>
    <t xml:space="preserve">Exclusión de grupos prioritarios (discapacidad, madres jóvenes, retornados)</t>
  </si>
  <si>
    <t xml:space="preserve">Barreras de accesibilidad y de información</t>
  </si>
  <si>
    <t xml:space="preserve">Ajustes razonables, metas por grupo y monitoreo de cobertura</t>
  </si>
  <si>
    <t xml:space="preserve">R-09</t>
  </si>
  <si>
    <t xml:space="preserve">Incidente de protección de datos personales de beneficiarios</t>
  </si>
  <si>
    <t xml:space="preserve">Manejo de información sensible en varias entidades</t>
  </si>
  <si>
    <t xml:space="preserve">Protocolo de datos, accesos por rol y capacitación</t>
  </si>
  <si>
    <t xml:space="preserve">R-10</t>
  </si>
  <si>
    <t xml:space="preserve">Incumplimiento de plazos de informes al BID</t>
  </si>
  <si>
    <t xml:space="preserve">Cierres contables y de indicadores desfasados</t>
  </si>
  <si>
    <t xml:space="preserve">Calendario de reportes con alertas a 30 días</t>
  </si>
  <si>
    <t xml:space="preserve">R-11</t>
  </si>
  <si>
    <t xml:space="preserve">Modificar el MOP o reasignar fondos sin No Objeción previa</t>
  </si>
  <si>
    <t xml:space="preserve">Cambios operativos urgentes</t>
  </si>
  <si>
    <t xml:space="preserve">Evitar</t>
  </si>
  <si>
    <t xml:space="preserve">Regla: ningún cambio sin No Objeción; registro de cambios (CCB)</t>
  </si>
  <si>
    <t xml:space="preserve">R-12</t>
  </si>
  <si>
    <t xml:space="preserve">Externo</t>
  </si>
  <si>
    <t xml:space="preserve">Cambios de prioridades o transición institucional</t>
  </si>
  <si>
    <t xml:space="preserve">Contexto político</t>
  </si>
  <si>
    <t xml:space="preserve">Aceptar</t>
  </si>
  <si>
    <t xml:space="preserve">Comunicación periódica con la Dirección General y la Gerencia de Cooperación</t>
  </si>
  <si>
    <t xml:space="preserve">R-13</t>
  </si>
  <si>
    <t xml:space="preserve">Emergencias climáticas que interrumpen clases y entrega de apoyos</t>
  </si>
  <si>
    <t xml:space="preserve">Temporada de lluvias</t>
  </si>
  <si>
    <t xml:space="preserve">Plan de contingencia y flexibilidad de calendarios</t>
  </si>
  <si>
    <t xml:space="preserve">R-14</t>
  </si>
  <si>
    <t xml:space="preserve">Observaciones de auditoría por soporte de transferencias a beneficiarios</t>
  </si>
  <si>
    <t xml:space="preserve">Expedientes de elegibilidad incompletos</t>
  </si>
  <si>
    <t xml:space="preserve">Expediente digital único y revisión muestral mensual</t>
  </si>
  <si>
    <t xml:space="preserve">R-15</t>
  </si>
  <si>
    <t xml:space="preserve">Dificultad para medir resultados (línea base y trayectorias)</t>
  </si>
  <si>
    <t xml:space="preserve">Sistemas de información fragmentados</t>
  </si>
  <si>
    <t xml:space="preserve">Línea base temprana y definición de fuentes de verificación</t>
  </si>
  <si>
    <t xml:space="preserve">P2 · Focalización territorial: metas, cobertura e inversión por departamento</t>
  </si>
  <si>
    <t xml:space="preserve">Índice de focalización = W_Vuln×vulnerabilidad + W_Pob×población relativa + W_Brecha×brecha de cobertura (pesos en Parametros). Población y vulnerabilidad son valores sintéticos.</t>
  </si>
  <si>
    <t xml:space="preserve">Departamento</t>
  </si>
  <si>
    <t xml:space="preserve">ISO 3166-2</t>
  </si>
  <si>
    <t xml:space="preserve">Peso población objetivo</t>
  </si>
  <si>
    <t xml:space="preserve">Vulnerabilidad (0-1)</t>
  </si>
  <si>
    <t xml:space="preserve">Meta 5 años (personas)</t>
  </si>
  <si>
    <t xml:space="preserve">Alcanzado acumulado</t>
  </si>
  <si>
    <t xml:space="preserve">Madres jóvenes</t>
  </si>
  <si>
    <t xml:space="preserve">Personas con discapacidad</t>
  </si>
  <si>
    <t xml:space="preserve">Retornadas/os</t>
  </si>
  <si>
    <t xml:space="preserve">Cobertura meta año 1</t>
  </si>
  <si>
    <t xml:space="preserve">Población relativa</t>
  </si>
  <si>
    <t xml:space="preserve">Brecha de cobertura</t>
  </si>
  <si>
    <t xml:space="preserve">Índice de focalización</t>
  </si>
  <si>
    <t xml:space="preserve">Prioridad</t>
  </si>
  <si>
    <t xml:space="preserve">Inversión ejecutada USD (territorializada)</t>
  </si>
  <si>
    <t xml:space="preserve">USD por beneficiario</t>
  </si>
  <si>
    <t xml:space="preserve">Ahuachapán</t>
  </si>
  <si>
    <t xml:space="preserve">SV-AH</t>
  </si>
  <si>
    <t xml:space="preserve">Cabañas</t>
  </si>
  <si>
    <t xml:space="preserve">SV-CA</t>
  </si>
  <si>
    <t xml:space="preserve">Chalatenango</t>
  </si>
  <si>
    <t xml:space="preserve">SV-CH</t>
  </si>
  <si>
    <t xml:space="preserve">Cuscatlán</t>
  </si>
  <si>
    <t xml:space="preserve">SV-CU</t>
  </si>
  <si>
    <t xml:space="preserve">La Libertad</t>
  </si>
  <si>
    <t xml:space="preserve">SV-LI</t>
  </si>
  <si>
    <t xml:space="preserve">La Paz</t>
  </si>
  <si>
    <t xml:space="preserve">SV-PA</t>
  </si>
  <si>
    <t xml:space="preserve">La Unión</t>
  </si>
  <si>
    <t xml:space="preserve">SV-UN</t>
  </si>
  <si>
    <t xml:space="preserve">Morazán</t>
  </si>
  <si>
    <t xml:space="preserve">SV-MO</t>
  </si>
  <si>
    <t xml:space="preserve">San Miguel</t>
  </si>
  <si>
    <t xml:space="preserve">SV-SM</t>
  </si>
  <si>
    <t xml:space="preserve">San Salvador</t>
  </si>
  <si>
    <t xml:space="preserve">SV-SS</t>
  </si>
  <si>
    <t xml:space="preserve">San Vicente</t>
  </si>
  <si>
    <t xml:space="preserve">SV-SV</t>
  </si>
  <si>
    <t xml:space="preserve">Santa Ana</t>
  </si>
  <si>
    <t xml:space="preserve">SV-SA</t>
  </si>
  <si>
    <t xml:space="preserve">Sonsonate</t>
  </si>
  <si>
    <t xml:space="preserve">SV-SO</t>
  </si>
  <si>
    <t xml:space="preserve">Usulután</t>
  </si>
  <si>
    <t xml:space="preserve">SV-US</t>
  </si>
  <si>
    <t xml:space="preserve">NACIONAL</t>
  </si>
  <si>
    <t xml:space="preserve">La inversión territorializada solo incluye gastos con departamento asignado; los gastos «Nacional» (UGP, sistemas, campañas) no se reparten.</t>
  </si>
  <si>
    <t xml:space="preserve">F1 · Presupuesto y Plan de Ejecución Plurianual (PEP) por componente</t>
  </si>
  <si>
    <t xml:space="preserve">Estructura de componentes ILUSTRATIVA. Año 1 = suma del POA (fórmula); años 2-5 son el plan plurianual (editable).</t>
  </si>
  <si>
    <t xml:space="preserve">Préstamo 6153/OC-ES</t>
  </si>
  <si>
    <t xml:space="preserve">Donación 6154/GR-ES</t>
  </si>
  <si>
    <t xml:space="preserve">Total asignado</t>
  </si>
  <si>
    <t xml:space="preserve">% del total</t>
  </si>
  <si>
    <t xml:space="preserve">PEP Año 1</t>
  </si>
  <si>
    <t xml:space="preserve">PEP Año 2</t>
  </si>
  <si>
    <t xml:space="preserve">PEP Año 3</t>
  </si>
  <si>
    <t xml:space="preserve">PEP Año 4</t>
  </si>
  <si>
    <t xml:space="preserve">PEP Año 5</t>
  </si>
  <si>
    <t xml:space="preserve">Total PEP</t>
  </si>
  <si>
    <t xml:space="preserve">PEP = Asignado</t>
  </si>
  <si>
    <t xml:space="preserve">Ejecutado acumulado</t>
  </si>
  <si>
    <t xml:space="preserve">% ejecución s/ total</t>
  </si>
  <si>
    <t xml:space="preserve">% ejecución s/ PEP año vigente</t>
  </si>
  <si>
    <t xml:space="preserve">Saldo por ejecutar</t>
  </si>
  <si>
    <t xml:space="preserve">Ejecución por fuente de financiamiento</t>
  </si>
  <si>
    <t xml:space="preserve">Fuente</t>
  </si>
  <si>
    <t xml:space="preserve">Asignado</t>
  </si>
  <si>
    <t xml:space="preserve">Ejecutado</t>
  </si>
  <si>
    <t xml:space="preserve">% ejecución</t>
  </si>
  <si>
    <t xml:space="preserve">Saldo</t>
  </si>
  <si>
    <t xml:space="preserve">Préstamo</t>
  </si>
  <si>
    <t xml:space="preserve">Donación</t>
  </si>
  <si>
    <t xml:space="preserve">Año vigente del programa y fecha de corte: ver hoja Parametros. Los años 2-5 se actualizan en cada revisión del PEP (con No Objeción del BID si hay reasignaciones).</t>
  </si>
  <si>
    <t xml:space="preserve">F2 · Libro de ejecución de gastos (devengado)</t>
  </si>
  <si>
    <t xml:space="preserve">Fuente única de la ejecución: alimenta presupuesto, POA, contratos, anticipos, focalización y tablero. Para agregar un gasto copie la última fila (incluida la columna de chequeo).</t>
  </si>
  <si>
    <t xml:space="preserve">ID gasto</t>
  </si>
  <si>
    <t xml:space="preserve">Fecha</t>
  </si>
  <si>
    <t xml:space="preserve">Actividad POA</t>
  </si>
  <si>
    <t xml:space="preserve">Contrato</t>
  </si>
  <si>
    <t xml:space="preserve">Concepto</t>
  </si>
  <si>
    <t xml:space="preserve">Monto USD</t>
  </si>
  <si>
    <t xml:space="preserve">Estado de pago</t>
  </si>
  <si>
    <t xml:space="preserve">Mecanismo</t>
  </si>
  <si>
    <t xml:space="preserve">Justificado al BID</t>
  </si>
  <si>
    <t xml:space="preserve">Chequeo comp.</t>
  </si>
  <si>
    <t xml:space="preserve">G-0001</t>
  </si>
  <si>
    <t xml:space="preserve">CT-10</t>
  </si>
  <si>
    <t xml:space="preserve">Nacional</t>
  </si>
  <si>
    <t xml:space="preserve">Pago Consultoría individual (TDR: US$50,400) (1/3)</t>
  </si>
  <si>
    <t xml:space="preserve">Pagado</t>
  </si>
  <si>
    <t xml:space="preserve">Anticipo de fondos</t>
  </si>
  <si>
    <t xml:space="preserve">Sí</t>
  </si>
  <si>
    <t xml:space="preserve">G-0002</t>
  </si>
  <si>
    <t xml:space="preserve">Pago Consultoría individual (TDR: US$50,400) (2/3)</t>
  </si>
  <si>
    <t xml:space="preserve">G-0003</t>
  </si>
  <si>
    <t xml:space="preserve">Pago Consultoría individual (TDR: US$50,400) (3/3)</t>
  </si>
  <si>
    <t xml:space="preserve">G-0004</t>
  </si>
  <si>
    <t xml:space="preserve">CT-11</t>
  </si>
  <si>
    <t xml:space="preserve">Pago Consultoría individual (1/3)</t>
  </si>
  <si>
    <t xml:space="preserve">G-0005</t>
  </si>
  <si>
    <t xml:space="preserve">Pago Consultoría individual (2/3)</t>
  </si>
  <si>
    <t xml:space="preserve">G-0006</t>
  </si>
  <si>
    <t xml:space="preserve">CT-08</t>
  </si>
  <si>
    <t xml:space="preserve">Pago Diagnóstico institucional (1/2)</t>
  </si>
  <si>
    <t xml:space="preserve">G-0007</t>
  </si>
  <si>
    <t xml:space="preserve">Pago Consultoría individual (3/3)</t>
  </si>
  <si>
    <t xml:space="preserve">G-0008</t>
  </si>
  <si>
    <t xml:space="preserve">CT-15</t>
  </si>
  <si>
    <t xml:space="preserve">Pago Línea base y plan de M&amp;E (1/2)</t>
  </si>
  <si>
    <t xml:space="preserve">G-0009</t>
  </si>
  <si>
    <t xml:space="preserve">CT-12</t>
  </si>
  <si>
    <t xml:space="preserve">G-0010</t>
  </si>
  <si>
    <t xml:space="preserve">CT-01</t>
  </si>
  <si>
    <t xml:space="preserve">Pago Diseño del modelo de captación (1/1)</t>
  </si>
  <si>
    <t xml:space="preserve">G-0011</t>
  </si>
  <si>
    <t xml:space="preserve">Logística de reuniones y convenios regionales (1/3)</t>
  </si>
  <si>
    <t xml:space="preserve">Servicios de no consultoría</t>
  </si>
  <si>
    <t xml:space="preserve">G-0012</t>
  </si>
  <si>
    <t xml:space="preserve">CT-04</t>
  </si>
  <si>
    <t xml:space="preserve">Pago Esquema de apoyos (1/1)</t>
  </si>
  <si>
    <t xml:space="preserve">G-0013</t>
  </si>
  <si>
    <t xml:space="preserve">CT-06</t>
  </si>
  <si>
    <t xml:space="preserve">Pago Diagnóstico de demanda laboral (1/2)</t>
  </si>
  <si>
    <t xml:space="preserve">G-0014</t>
  </si>
  <si>
    <t xml:space="preserve">CT-16</t>
  </si>
  <si>
    <t xml:space="preserve">Pago Gestión ambiental y social (1/1)</t>
  </si>
  <si>
    <t xml:space="preserve">G-0015</t>
  </si>
  <si>
    <t xml:space="preserve">G-0016</t>
  </si>
  <si>
    <t xml:space="preserve">CT-02</t>
  </si>
  <si>
    <t xml:space="preserve">Pago Plataforma de registro (1/2)</t>
  </si>
  <si>
    <t xml:space="preserve">Pago directo</t>
  </si>
  <si>
    <t xml:space="preserve">N/A</t>
  </si>
  <si>
    <t xml:space="preserve">G-0017</t>
  </si>
  <si>
    <t xml:space="preserve">G-0018</t>
  </si>
  <si>
    <t xml:space="preserve">CT-03</t>
  </si>
  <si>
    <t xml:space="preserve">Pago Campaña nacional de difusión (1/2)</t>
  </si>
  <si>
    <t xml:space="preserve">G-0019</t>
  </si>
  <si>
    <t xml:space="preserve">CT-09</t>
  </si>
  <si>
    <t xml:space="preserve">Pago Sistema de información de trayectorias (1/2)</t>
  </si>
  <si>
    <t xml:space="preserve">G-0020</t>
  </si>
  <si>
    <t xml:space="preserve">CT-13</t>
  </si>
  <si>
    <t xml:space="preserve">G-0021</t>
  </si>
  <si>
    <t xml:space="preserve">Operativo de selección y verificación (1/3)</t>
  </si>
  <si>
    <t xml:space="preserve">G-0022</t>
  </si>
  <si>
    <t xml:space="preserve">Pago Diagnóstico institucional (2/2)</t>
  </si>
  <si>
    <t xml:space="preserve">G-0023</t>
  </si>
  <si>
    <t xml:space="preserve">Pago Línea base y plan de M&amp;E (2/2)</t>
  </si>
  <si>
    <t xml:space="preserve">G-0024</t>
  </si>
  <si>
    <t xml:space="preserve">G-0025</t>
  </si>
  <si>
    <t xml:space="preserve">Pago Plataforma de registro (2/2)</t>
  </si>
  <si>
    <t xml:space="preserve">G-0026</t>
  </si>
  <si>
    <t xml:space="preserve">Apoyos económicos a beneficiarios — Ahuachapán</t>
  </si>
  <si>
    <t xml:space="preserve">Transferencias a beneficiarios</t>
  </si>
  <si>
    <t xml:space="preserve">G-0027</t>
  </si>
  <si>
    <t xml:space="preserve">Productos de comunicación (1/2)</t>
  </si>
  <si>
    <t xml:space="preserve">G-0028</t>
  </si>
  <si>
    <t xml:space="preserve">Logística de reuniones y convenios regionales (2/3)</t>
  </si>
  <si>
    <t xml:space="preserve">G-0029</t>
  </si>
  <si>
    <t xml:space="preserve">Pago Diagnóstico de demanda laboral (2/2)</t>
  </si>
  <si>
    <t xml:space="preserve">G-0030</t>
  </si>
  <si>
    <t xml:space="preserve">Capacitación y mecanismo de quejas (1/2)</t>
  </si>
  <si>
    <t xml:space="preserve">G-0031</t>
  </si>
  <si>
    <t xml:space="preserve">Pago Campaña nacional de difusión (2/2)</t>
  </si>
  <si>
    <t xml:space="preserve">G-0032</t>
  </si>
  <si>
    <t xml:space="preserve">Apoyos económicos a beneficiarios — Cabañas</t>
  </si>
  <si>
    <t xml:space="preserve">G-0033</t>
  </si>
  <si>
    <t xml:space="preserve">Pago Sistema de información de trayectorias (2/2)</t>
  </si>
  <si>
    <t xml:space="preserve">G-0034</t>
  </si>
  <si>
    <t xml:space="preserve">G-0035</t>
  </si>
  <si>
    <t xml:space="preserve">Apoyos económicos a beneficiarios — Chalatenango</t>
  </si>
  <si>
    <t xml:space="preserve">G-0036</t>
  </si>
  <si>
    <t xml:space="preserve">CT-14</t>
  </si>
  <si>
    <t xml:space="preserve">G-0037</t>
  </si>
  <si>
    <t xml:space="preserve">Apoyos económicos a beneficiarios — Cuscatlán</t>
  </si>
  <si>
    <t xml:space="preserve">G-0038</t>
  </si>
  <si>
    <t xml:space="preserve">Operativo de selección y verificación (2/3)</t>
  </si>
  <si>
    <t xml:space="preserve">G-0039</t>
  </si>
  <si>
    <t xml:space="preserve">Talleres de validación del modelo</t>
  </si>
  <si>
    <t xml:space="preserve">G-0040</t>
  </si>
  <si>
    <t xml:space="preserve">Talleres de consulta de criterios</t>
  </si>
  <si>
    <t xml:space="preserve">G-0041</t>
  </si>
  <si>
    <t xml:space="preserve">Apoyos económicos a beneficiarios — La Libertad</t>
  </si>
  <si>
    <t xml:space="preserve">G-0042</t>
  </si>
  <si>
    <t xml:space="preserve">CT-05</t>
  </si>
  <si>
    <t xml:space="preserve">Pago Tutorías y acompañamiento (1/2)</t>
  </si>
  <si>
    <t xml:space="preserve">G-0043</t>
  </si>
  <si>
    <t xml:space="preserve">CT-07</t>
  </si>
  <si>
    <t xml:space="preserve">Pago Alianzas con empleadores (1/1)</t>
  </si>
  <si>
    <t xml:space="preserve">G-0044</t>
  </si>
  <si>
    <t xml:space="preserve">Especificaciones técnicas (1/2)</t>
  </si>
  <si>
    <t xml:space="preserve">G-0045</t>
  </si>
  <si>
    <t xml:space="preserve">Licencias y alojamiento en la nube (1/2)</t>
  </si>
  <si>
    <t xml:space="preserve">Bienes</t>
  </si>
  <si>
    <t xml:space="preserve">G-0046</t>
  </si>
  <si>
    <t xml:space="preserve">G-0047</t>
  </si>
  <si>
    <t xml:space="preserve">Apoyos económicos a beneficiarios — La Paz</t>
  </si>
  <si>
    <t xml:space="preserve">G-0048</t>
  </si>
  <si>
    <t xml:space="preserve">Producción de materiales de difusión (1/2)</t>
  </si>
  <si>
    <t xml:space="preserve">G-0049</t>
  </si>
  <si>
    <t xml:space="preserve">Infraestructura y pruebas (1/2)</t>
  </si>
  <si>
    <t xml:space="preserve">G-0050</t>
  </si>
  <si>
    <t xml:space="preserve">Apoyos económicos a beneficiarios — La Unión</t>
  </si>
  <si>
    <t xml:space="preserve">G-0051</t>
  </si>
  <si>
    <t xml:space="preserve">G-0052</t>
  </si>
  <si>
    <t xml:space="preserve">Apoyos económicos a beneficiarios — Morazán</t>
  </si>
  <si>
    <t xml:space="preserve">G-0053</t>
  </si>
  <si>
    <t xml:space="preserve">Pago Tutorías y acompañamiento (2/2)</t>
  </si>
  <si>
    <t xml:space="preserve">G-0054</t>
  </si>
  <si>
    <t xml:space="preserve">Talleres con instituciones</t>
  </si>
  <si>
    <t xml:space="preserve">G-0055</t>
  </si>
  <si>
    <t xml:space="preserve">Trabajo de campo línea base</t>
  </si>
  <si>
    <t xml:space="preserve">G-0056</t>
  </si>
  <si>
    <t xml:space="preserve">Productos de comunicación (2/2)</t>
  </si>
  <si>
    <t xml:space="preserve">G-0057</t>
  </si>
  <si>
    <t xml:space="preserve">Logística de reuniones y convenios regionales (3/3)</t>
  </si>
  <si>
    <t xml:space="preserve">G-0058</t>
  </si>
  <si>
    <t xml:space="preserve">Levantamiento de información</t>
  </si>
  <si>
    <t xml:space="preserve">G-0059</t>
  </si>
  <si>
    <t xml:space="preserve">Capacitación y mecanismo de quejas (2/2)</t>
  </si>
  <si>
    <t xml:space="preserve">G-0060</t>
  </si>
  <si>
    <t xml:space="preserve">Equipo de oficina y servicios (1/2)</t>
  </si>
  <si>
    <t xml:space="preserve">Costos operativos</t>
  </si>
  <si>
    <t xml:space="preserve">G-0061</t>
  </si>
  <si>
    <t xml:space="preserve">Apoyos económicos a beneficiarios — San Miguel</t>
  </si>
  <si>
    <t xml:space="preserve">G-0062</t>
  </si>
  <si>
    <t xml:space="preserve">Consultas y ajustes razonables (1/2)</t>
  </si>
  <si>
    <t xml:space="preserve">G-0063</t>
  </si>
  <si>
    <t xml:space="preserve">Talleres de diseño de rutas (1/2)</t>
  </si>
  <si>
    <t xml:space="preserve">G-0064</t>
  </si>
  <si>
    <t xml:space="preserve">Operativo de selección y verificación (3/3)</t>
  </si>
  <si>
    <t xml:space="preserve">No</t>
  </si>
  <si>
    <t xml:space="preserve">G-0065</t>
  </si>
  <si>
    <t xml:space="preserve">Apoyos económicos a beneficiarios — San Salvador</t>
  </si>
  <si>
    <t xml:space="preserve">G-0066</t>
  </si>
  <si>
    <t xml:space="preserve">Encuentros con empleadores</t>
  </si>
  <si>
    <t xml:space="preserve">G-0067</t>
  </si>
  <si>
    <t xml:space="preserve">Especificaciones técnicas (2/2)</t>
  </si>
  <si>
    <t xml:space="preserve">G-0068</t>
  </si>
  <si>
    <t xml:space="preserve">Licencias y alojamiento en la nube (2/2)</t>
  </si>
  <si>
    <t xml:space="preserve">G-0069</t>
  </si>
  <si>
    <t xml:space="preserve">Materiales de acompañamiento (1/2)</t>
  </si>
  <si>
    <t xml:space="preserve">G-0070</t>
  </si>
  <si>
    <t xml:space="preserve">Equipo de oficina y servicios (2/2)</t>
  </si>
  <si>
    <t xml:space="preserve">G-0071</t>
  </si>
  <si>
    <t xml:space="preserve">Producción de materiales de difusión (2/2)</t>
  </si>
  <si>
    <t xml:space="preserve">G-0072</t>
  </si>
  <si>
    <t xml:space="preserve">Apoyos complementarios</t>
  </si>
  <si>
    <t xml:space="preserve">G-0073</t>
  </si>
  <si>
    <t xml:space="preserve">Infraestructura y pruebas (2/2)</t>
  </si>
  <si>
    <t xml:space="preserve">G-0074</t>
  </si>
  <si>
    <t xml:space="preserve">Preparación de convocatorias</t>
  </si>
  <si>
    <t xml:space="preserve">G-0075</t>
  </si>
  <si>
    <t xml:space="preserve">Apoyos económicos a beneficiarios — San Vicente</t>
  </si>
  <si>
    <t xml:space="preserve">G-0076</t>
  </si>
  <si>
    <t xml:space="preserve">Apoyos económicos a beneficiarios — Santa Ana</t>
  </si>
  <si>
    <t xml:space="preserve">G-0077</t>
  </si>
  <si>
    <t xml:space="preserve">Consultas y ajustes razonables (2/2)</t>
  </si>
  <si>
    <t xml:space="preserve">G-0078</t>
  </si>
  <si>
    <t xml:space="preserve">Talleres de diseño de rutas (2/2)</t>
  </si>
  <si>
    <t xml:space="preserve">G-0079</t>
  </si>
  <si>
    <t xml:space="preserve">Viáticos y transporte a campo (1/2)</t>
  </si>
  <si>
    <t xml:space="preserve">G-0080</t>
  </si>
  <si>
    <t xml:space="preserve">Materiales de acompañamiento (2/2)</t>
  </si>
  <si>
    <t xml:space="preserve">G-0081</t>
  </si>
  <si>
    <t xml:space="preserve">Apoyos económicos a beneficiarios — Sonsonate</t>
  </si>
  <si>
    <t xml:space="preserve">G-0082</t>
  </si>
  <si>
    <t xml:space="preserve">Preparación de ferias de orientación</t>
  </si>
  <si>
    <t xml:space="preserve">G-0083</t>
  </si>
  <si>
    <t xml:space="preserve">Viáticos y transporte a campo (2/2)</t>
  </si>
  <si>
    <t xml:space="preserve">G-0084</t>
  </si>
  <si>
    <t xml:space="preserve">Apoyos económicos a beneficiarios — Usulután</t>
  </si>
  <si>
    <t xml:space="preserve">F3 · Solicitudes de desembolso y control de anticipos</t>
  </si>
  <si>
    <t xml:space="preserve">Mecanismos: anticipo de fondos, reembolso de gastos y pago directo a proveedores. Bloque derecho = control del anticipo.</t>
  </si>
  <si>
    <t xml:space="preserve">ID solicitud</t>
  </si>
  <si>
    <t xml:space="preserve">Fecha solicitud</t>
  </si>
  <si>
    <t xml:space="preserve">Monto solicitado</t>
  </si>
  <si>
    <t xml:space="preserve">Fecha desembolso</t>
  </si>
  <si>
    <t xml:space="preserve">Monto desembolsado</t>
  </si>
  <si>
    <t xml:space="preserve">Días de trámite</t>
  </si>
  <si>
    <t xml:space="preserve">Control de anticipos</t>
  </si>
  <si>
    <t xml:space="preserve">DS-01</t>
  </si>
  <si>
    <t xml:space="preserve">Desembolsado</t>
  </si>
  <si>
    <t xml:space="preserve">Anticipos desembolsados (USD)</t>
  </si>
  <si>
    <t xml:space="preserve">DS-02</t>
  </si>
  <si>
    <t xml:space="preserve">Gasto pagado con anticipo (USD)</t>
  </si>
  <si>
    <t xml:space="preserve">DS-03</t>
  </si>
  <si>
    <t xml:space="preserve">Gasto justificado ante el BID (USD)</t>
  </si>
  <si>
    <t xml:space="preserve">DS-04</t>
  </si>
  <si>
    <t xml:space="preserve">% justificado sobre anticipos</t>
  </si>
  <si>
    <t xml:space="preserve">DS-05</t>
  </si>
  <si>
    <t xml:space="preserve">En preparación</t>
  </si>
  <si>
    <t xml:space="preserve">Saldo de anticipo por justificar (USD)</t>
  </si>
  <si>
    <t xml:space="preserve">Fondos disponibles de anticipo (USD)</t>
  </si>
  <si>
    <t xml:space="preserve">Pagos directos desembolsados (USD)</t>
  </si>
  <si>
    <t xml:space="preserve">Pagos directos registrados en el libro (USD)</t>
  </si>
  <si>
    <t xml:space="preserve">Desembolsado / total del Programa</t>
  </si>
  <si>
    <t xml:space="preserve">Alerta para solicitar nuevo anticipo</t>
  </si>
  <si>
    <t xml:space="preserve">El umbral de justificación (Pct_Justif_Min) es un parámetro a validar con el Contrato de Préstamo.</t>
  </si>
  <si>
    <t xml:space="preserve">F3 · Plan financiero trimestral (proyectado vs. real)</t>
  </si>
  <si>
    <t xml:space="preserve">Proyección de gasto por trimestre (base para calcular anticipos). Real = suma del libro de gastos en el trimestre.</t>
  </si>
  <si>
    <t xml:space="preserve">Trimestre</t>
  </si>
  <si>
    <t xml:space="preserve">Proyectado USD</t>
  </si>
  <si>
    <t xml:space="preserve">Real USD</t>
  </si>
  <si>
    <t xml:space="preserve">Proyectado acumulado</t>
  </si>
  <si>
    <t xml:space="preserve">Real acumulado</t>
  </si>
  <si>
    <t xml:space="preserve">Variación acumulada</t>
  </si>
  <si>
    <t xml:space="preserve">Cumplimiento acumulado</t>
  </si>
  <si>
    <t xml:space="preserve">2027-T1</t>
  </si>
  <si>
    <t xml:space="preserve">2027-T2</t>
  </si>
  <si>
    <t xml:space="preserve">2027-T3</t>
  </si>
  <si>
    <t xml:space="preserve">2027-T4</t>
  </si>
  <si>
    <t xml:space="preserve">2028-T1</t>
  </si>
  <si>
    <t xml:space="preserve">2028-T2</t>
  </si>
  <si>
    <t xml:space="preserve">2028-T3</t>
  </si>
  <si>
    <t xml:space="preserve">2028-T4</t>
  </si>
  <si>
    <t xml:space="preserve">La proyección del año 1 suma el POA vigente; la del año 2 suma el PEP. Se revisa cada trimestre y sustenta la solicitud de anticipos.</t>
  </si>
  <si>
    <t xml:space="preserve">F4 · Plan de Adquisiciones (PA) y seguimiento de procesos</t>
  </si>
  <si>
    <t xml:space="preserve">Métodos según políticas GN-2349-15 (bienes, obras y servicios de no consultoría) y GN-2350-15 (consultorías). Los montos umbral de cada método están en el PA aprobado por el BID (no se reproducen aquí).</t>
  </si>
  <si>
    <t xml:space="preserve">ID PA</t>
  </si>
  <si>
    <t xml:space="preserve">Descripción</t>
  </si>
  <si>
    <t xml:space="preserve">Método</t>
  </si>
  <si>
    <t xml:space="preserve">Revisión</t>
  </si>
  <si>
    <t xml:space="preserve">Monto estimado</t>
  </si>
  <si>
    <t xml:space="preserve">Estado del proceso</t>
  </si>
  <si>
    <t xml:space="preserve">Publicación prevista</t>
  </si>
  <si>
    <t xml:space="preserve">Publicación real</t>
  </si>
  <si>
    <t xml:space="preserve">Adjudicación prevista</t>
  </si>
  <si>
    <t xml:space="preserve">Adjudicación real</t>
  </si>
  <si>
    <t xml:space="preserve">Desvío adjudicación (días)</t>
  </si>
  <si>
    <t xml:space="preserve">Monto contratado</t>
  </si>
  <si>
    <t xml:space="preserve">Alerta</t>
  </si>
  <si>
    <t xml:space="preserve">PA-01</t>
  </si>
  <si>
    <t xml:space="preserve">Consultoría: diseño del modelo de captación</t>
  </si>
  <si>
    <t xml:space="preserve">Consultoría (firma)</t>
  </si>
  <si>
    <t xml:space="preserve">SBCC</t>
  </si>
  <si>
    <t xml:space="preserve">Ex ante</t>
  </si>
  <si>
    <t xml:space="preserve">Contratado</t>
  </si>
  <si>
    <t xml:space="preserve">PA-02</t>
  </si>
  <si>
    <t xml:space="preserve">LPN</t>
  </si>
  <si>
    <t xml:space="preserve">PA-03</t>
  </si>
  <si>
    <t xml:space="preserve">Comparación de precios</t>
  </si>
  <si>
    <t xml:space="preserve">Ex post</t>
  </si>
  <si>
    <t xml:space="preserve">PA-04</t>
  </si>
  <si>
    <t xml:space="preserve">Consultoría individual: esquema de apoyos</t>
  </si>
  <si>
    <t xml:space="preserve">Consultor individual</t>
  </si>
  <si>
    <t xml:space="preserve">3CV</t>
  </si>
  <si>
    <t xml:space="preserve">PA-05</t>
  </si>
  <si>
    <t xml:space="preserve">Servicios de tutorías y acompañamiento</t>
  </si>
  <si>
    <t xml:space="preserve">PA-06</t>
  </si>
  <si>
    <t xml:space="preserve">Equipamiento de accesibilidad</t>
  </si>
  <si>
    <t xml:space="preserve">Publicado</t>
  </si>
  <si>
    <t xml:space="preserve">PA-07</t>
  </si>
  <si>
    <t xml:space="preserve">Consultoría: diagnóstico de demanda laboral</t>
  </si>
  <si>
    <t xml:space="preserve">PA-08</t>
  </si>
  <si>
    <t xml:space="preserve">Consultoría individual: alianzas con empleadores</t>
  </si>
  <si>
    <t xml:space="preserve">PA-09</t>
  </si>
  <si>
    <t xml:space="preserve">Consultoría: diagnóstico institucional</t>
  </si>
  <si>
    <t xml:space="preserve">PA-10</t>
  </si>
  <si>
    <t xml:space="preserve">LPI</t>
  </si>
  <si>
    <t xml:space="preserve">PA-11</t>
  </si>
  <si>
    <t xml:space="preserve">Equipamiento tecnológico para instituciones</t>
  </si>
  <si>
    <t xml:space="preserve">Evaluación</t>
  </si>
  <si>
    <t xml:space="preserve">PA-12</t>
  </si>
  <si>
    <t xml:space="preserve">Consultoría: capacitación a instituciones</t>
  </si>
  <si>
    <t xml:space="preserve">Preparación</t>
  </si>
  <si>
    <t xml:space="preserve">PA-13</t>
  </si>
  <si>
    <t xml:space="preserve">Coordinador(a) General de la UGP</t>
  </si>
  <si>
    <t xml:space="preserve">PA-14</t>
  </si>
  <si>
    <t xml:space="preserve">Especialista Financiero</t>
  </si>
  <si>
    <t xml:space="preserve">PA-15</t>
  </si>
  <si>
    <t xml:space="preserve">Especialista en Adquisiciones</t>
  </si>
  <si>
    <t xml:space="preserve">PA-16</t>
  </si>
  <si>
    <t xml:space="preserve">Esp. en Planificación, Monitoreo y Seguimiento</t>
  </si>
  <si>
    <t xml:space="preserve">PA-17</t>
  </si>
  <si>
    <t xml:space="preserve">Especialista Social</t>
  </si>
  <si>
    <t xml:space="preserve">PA-18</t>
  </si>
  <si>
    <t xml:space="preserve">Firma auditora de estados financieros 2027</t>
  </si>
  <si>
    <t xml:space="preserve">PA-19</t>
  </si>
  <si>
    <t xml:space="preserve">Consultoría: línea base y plan de M&amp;E</t>
  </si>
  <si>
    <t xml:space="preserve">PA-20</t>
  </si>
  <si>
    <t xml:space="preserve">Consultoría individual: gestión ambiental y social</t>
  </si>
  <si>
    <t xml:space="preserve">F5 · Registro y seguimiento de contratos</t>
  </si>
  <si>
    <t xml:space="preserve">Pagado = suma del libro de gastos por contrato. El saldo y el chequeo detectan pagos que excedan el monto contratado.</t>
  </si>
  <si>
    <t xml:space="preserve">ID contrato</t>
  </si>
  <si>
    <t xml:space="preserve">Proveedor / consultor</t>
  </si>
  <si>
    <t xml:space="preserve">Objeto</t>
  </si>
  <si>
    <t xml:space="preserve">Monto contrato</t>
  </si>
  <si>
    <t xml:space="preserve">Fecha firma</t>
  </si>
  <si>
    <t xml:space="preserve">Fin de vigencia</t>
  </si>
  <si>
    <t xml:space="preserve">Mecanismo de pago</t>
  </si>
  <si>
    <t xml:space="preserve">Pagado (USD)</t>
  </si>
  <si>
    <t xml:space="preserve">Saldo (USD)</t>
  </si>
  <si>
    <t xml:space="preserve">% pagado</t>
  </si>
  <si>
    <t xml:space="preserve">Vigencia</t>
  </si>
  <si>
    <t xml:space="preserve">Responsable de supervisión</t>
  </si>
  <si>
    <t xml:space="preserve">Chequeo pago ≤ contrato</t>
  </si>
  <si>
    <t xml:space="preserve">Consultora Alfa (ficticia)</t>
  </si>
  <si>
    <t xml:space="preserve">Diseño del modelo de captación</t>
  </si>
  <si>
    <t xml:space="preserve">Tecnologías Beta (ficticia)</t>
  </si>
  <si>
    <t xml:space="preserve">Plataforma de registro</t>
  </si>
  <si>
    <t xml:space="preserve">Comunicaciones Gamma (ficticia)</t>
  </si>
  <si>
    <t xml:space="preserve">Consultor individual 1 (ficticio)</t>
  </si>
  <si>
    <t xml:space="preserve">Esquema de apoyos</t>
  </si>
  <si>
    <t xml:space="preserve">Fundación Delta (ficticia)</t>
  </si>
  <si>
    <t xml:space="preserve">Tutorías y acompañamiento</t>
  </si>
  <si>
    <t xml:space="preserve">Estudios Épsilon (ficticia)</t>
  </si>
  <si>
    <t xml:space="preserve">Consultor individual 2 (ficticio)</t>
  </si>
  <si>
    <t xml:space="preserve">Consultora Zeta (ficticia)</t>
  </si>
  <si>
    <t xml:space="preserve">Diagnóstico institucional</t>
  </si>
  <si>
    <t xml:space="preserve">Sistemas Eta (ficticia)</t>
  </si>
  <si>
    <t xml:space="preserve">Coordinador(a) General UGP</t>
  </si>
  <si>
    <t xml:space="preserve">Consultoría individual (TDR: US$50,400)</t>
  </si>
  <si>
    <t xml:space="preserve">Consultoría individual</t>
  </si>
  <si>
    <t xml:space="preserve">Evaluaciones Theta (ficticia)</t>
  </si>
  <si>
    <t xml:space="preserve">Línea base y plan de M&amp;E</t>
  </si>
  <si>
    <t xml:space="preserve">Consultor individual 3 (ficticio)</t>
  </si>
  <si>
    <t xml:space="preserve">Gestión ambiental y social</t>
  </si>
  <si>
    <t xml:space="preserve">F6 · Plan de auditorías y seguimiento de recomendaciones</t>
  </si>
  <si>
    <t xml:space="preserve">Tabla 1 (fila 4): plan de auditoría y revisiones. Tabla 2 (fila 12): recomendaciones y hallazgos.</t>
  </si>
  <si>
    <t xml:space="preserve">Tipo de auditoría / revisión</t>
  </si>
  <si>
    <t xml:space="preserve">Período</t>
  </si>
  <si>
    <t xml:space="preserve">Responsable externo/interno</t>
  </si>
  <si>
    <t xml:space="preserve">Cierre del período</t>
  </si>
  <si>
    <t xml:space="preserve">Fecha límite de entrega</t>
  </si>
  <si>
    <t xml:space="preserve">Días al vencimiento</t>
  </si>
  <si>
    <t xml:space="preserve">Recomendaciones</t>
  </si>
  <si>
    <t xml:space="preserve">Cerradas</t>
  </si>
  <si>
    <t xml:space="preserve">% cierre</t>
  </si>
  <si>
    <t xml:space="preserve">AU-01</t>
  </si>
  <si>
    <t xml:space="preserve">Estados financieros auditados del Programa</t>
  </si>
  <si>
    <t xml:space="preserve">Ejercicio 2027</t>
  </si>
  <si>
    <t xml:space="preserve">Firma auditora externa (por contratar, PA-18)</t>
  </si>
  <si>
    <t xml:space="preserve">Planificada</t>
  </si>
  <si>
    <t xml:space="preserve">AU-02</t>
  </si>
  <si>
    <t xml:space="preserve">Revisión ex post de adquisiciones (expedientes)</t>
  </si>
  <si>
    <t xml:space="preserve">Revisión BID con expedientes preparados por la UGP</t>
  </si>
  <si>
    <t xml:space="preserve">AU-03</t>
  </si>
  <si>
    <t xml:space="preserve">Auditoría interna: transferencias a beneficiarios (muestra)</t>
  </si>
  <si>
    <t xml:space="preserve">Semestre 1-2027</t>
  </si>
  <si>
    <t xml:space="preserve">Unidad de Auditoría Interna de la DI (supuesto)</t>
  </si>
  <si>
    <t xml:space="preserve">En ejecución</t>
  </si>
  <si>
    <t xml:space="preserve">AU-04</t>
  </si>
  <si>
    <t xml:space="preserve">Evaluación inicial de control interno de la UGP</t>
  </si>
  <si>
    <t xml:space="preserve">Arranque 2027</t>
  </si>
  <si>
    <t xml:space="preserve">Informe emitido</t>
  </si>
  <si>
    <t xml:space="preserve">Recomendaciones y hallazgos</t>
  </si>
  <si>
    <t xml:space="preserve">ID rec.</t>
  </si>
  <si>
    <t xml:space="preserve">ID auditoría</t>
  </si>
  <si>
    <t xml:space="preserve">Recomendación / hallazgo</t>
  </si>
  <si>
    <t xml:space="preserve">Fecha compromiso</t>
  </si>
  <si>
    <t xml:space="preserve">Fecha de cierre</t>
  </si>
  <si>
    <t xml:space="preserve">Días vencida</t>
  </si>
  <si>
    <t xml:space="preserve">RA-01</t>
  </si>
  <si>
    <t xml:space="preserve">Formalizar el manual de funciones de los especialistas de la UGP</t>
  </si>
  <si>
    <t xml:space="preserve">Medio</t>
  </si>
  <si>
    <t xml:space="preserve">Cerrada</t>
  </si>
  <si>
    <t xml:space="preserve">RA-02</t>
  </si>
  <si>
    <t xml:space="preserve">Implementar lista de verificación de expediente por contrato</t>
  </si>
  <si>
    <t xml:space="preserve">RA-03</t>
  </si>
  <si>
    <t xml:space="preserve">Segregar el registro y la aprobación de pagos</t>
  </si>
  <si>
    <t xml:space="preserve">Alto</t>
  </si>
  <si>
    <t xml:space="preserve">RA-04</t>
  </si>
  <si>
    <t xml:space="preserve">Documentar la conciliación bancaria mensual de la cuenta del Programa</t>
  </si>
  <si>
    <t xml:space="preserve">En proceso</t>
  </si>
  <si>
    <t xml:space="preserve">RA-05</t>
  </si>
  <si>
    <t xml:space="preserve">Completar expedientes de beneficiarios con la documentación de elegibilidad (preliminar)</t>
  </si>
  <si>
    <t xml:space="preserve">Abierta</t>
  </si>
  <si>
    <t xml:space="preserve">N1 · Matriz de cumplimiento normativo y contractual</t>
  </si>
  <si>
    <t xml:space="preserve">Obligaciones TÍPICAS de una operación BID. La columna «Cláusula» queda por completar al contrastar con el Contrato de Préstamo 6153/OC-ES, el Convenio 6154/GR-ES y el MOP, que no se tuvieron a la vista.</t>
  </si>
  <si>
    <t xml:space="preserve">Instrumento</t>
  </si>
  <si>
    <t xml:space="preserve">Obligación</t>
  </si>
  <si>
    <t xml:space="preserve">Cláusula / sección</t>
  </si>
  <si>
    <t xml:space="preserve">Evidencia (expediente)</t>
  </si>
  <si>
    <t xml:space="preserve">Exigible a la fecha</t>
  </si>
  <si>
    <t xml:space="preserve">Resumen de cumplimiento</t>
  </si>
  <si>
    <t xml:space="preserve">N-01</t>
  </si>
  <si>
    <t xml:space="preserve">Contrato de Préstamo 6153/OC-ES</t>
  </si>
  <si>
    <t xml:space="preserve">Condiciones previas al primer desembolso cumplidas y certificadas</t>
  </si>
  <si>
    <t xml:space="preserve">Por verificar</t>
  </si>
  <si>
    <t xml:space="preserve">Única</t>
  </si>
  <si>
    <t xml:space="preserve">Cumplida</t>
  </si>
  <si>
    <t xml:space="preserve">EV-01</t>
  </si>
  <si>
    <t xml:space="preserve">Obligaciones registradas</t>
  </si>
  <si>
    <t xml:space="preserve">N-02</t>
  </si>
  <si>
    <t xml:space="preserve">MOP</t>
  </si>
  <si>
    <t xml:space="preserve">Manual Operativo del Programa (MOP) aprobado y vigente</t>
  </si>
  <si>
    <t xml:space="preserve">EV-02</t>
  </si>
  <si>
    <t xml:space="preserve">Exigibles a la fecha de corte</t>
  </si>
  <si>
    <t xml:space="preserve">N-03</t>
  </si>
  <si>
    <t xml:space="preserve">Cuenta bancaria específica para los recursos del Programa</t>
  </si>
  <si>
    <t xml:space="preserve">EV-03</t>
  </si>
  <si>
    <t xml:space="preserve">Cumplidas (de las exigibles)</t>
  </si>
  <si>
    <t xml:space="preserve">N-04</t>
  </si>
  <si>
    <t xml:space="preserve">Plan de Ejecución Plurianual (PEP) y POA del año aprobados</t>
  </si>
  <si>
    <t xml:space="preserve">EV-04</t>
  </si>
  <si>
    <t xml:space="preserve">Vencidas</t>
  </si>
  <si>
    <t xml:space="preserve">N-05</t>
  </si>
  <si>
    <t xml:space="preserve">Políticas BID</t>
  </si>
  <si>
    <t xml:space="preserve">Plan de Adquisiciones inicial registrado con No Objeción</t>
  </si>
  <si>
    <t xml:space="preserve">EV-05</t>
  </si>
  <si>
    <t xml:space="preserve">Próximas a vencer</t>
  </si>
  <si>
    <t xml:space="preserve">N-06</t>
  </si>
  <si>
    <t xml:space="preserve">Plan de Adquisiciones actualizado</t>
  </si>
  <si>
    <t xml:space="preserve">EV-06</t>
  </si>
  <si>
    <t xml:space="preserve">% cumplimiento de exigibles</t>
  </si>
  <si>
    <t xml:space="preserve">N-07</t>
  </si>
  <si>
    <t xml:space="preserve">Informe de progreso semestral al BID</t>
  </si>
  <si>
    <t xml:space="preserve">Semestral</t>
  </si>
  <si>
    <t xml:space="preserve">EV-07</t>
  </si>
  <si>
    <t xml:space="preserve">N-08</t>
  </si>
  <si>
    <t xml:space="preserve">Estados financieros auditados del ejercicio 2027</t>
  </si>
  <si>
    <t xml:space="preserve">Pendiente</t>
  </si>
  <si>
    <t xml:space="preserve">EV-08</t>
  </si>
  <si>
    <t xml:space="preserve">N-09</t>
  </si>
  <si>
    <t xml:space="preserve">Justificación de anticipos hasta el umbral para solicitar uno nuevo</t>
  </si>
  <si>
    <t xml:space="preserve">EV-09</t>
  </si>
  <si>
    <t xml:space="preserve">N-10</t>
  </si>
  <si>
    <t xml:space="preserve">Revisión ex post de adquisiciones (expedientes completos)</t>
  </si>
  <si>
    <t xml:space="preserve">EV-10</t>
  </si>
  <si>
    <t xml:space="preserve">N-11</t>
  </si>
  <si>
    <t xml:space="preserve">Informe ambiental y social semestral</t>
  </si>
  <si>
    <t xml:space="preserve">EV-11</t>
  </si>
  <si>
    <t xml:space="preserve">N-12</t>
  </si>
  <si>
    <t xml:space="preserve">Mecanismo de quejas y reclamos operativo</t>
  </si>
  <si>
    <t xml:space="preserve">EV-12</t>
  </si>
  <si>
    <t xml:space="preserve">N-13</t>
  </si>
  <si>
    <t xml:space="preserve">TDR / UGP</t>
  </si>
  <si>
    <t xml:space="preserve">Protocolo de protección de datos de las personas beneficiarias</t>
  </si>
  <si>
    <t xml:space="preserve">EV-13</t>
  </si>
  <si>
    <t xml:space="preserve">N-14</t>
  </si>
  <si>
    <t xml:space="preserve">Línea base de indicadores de resultados</t>
  </si>
  <si>
    <t xml:space="preserve">EV-14</t>
  </si>
  <si>
    <t xml:space="preserve">N-15</t>
  </si>
  <si>
    <t xml:space="preserve">Informe mensual de gestión (P2-P11)</t>
  </si>
  <si>
    <t xml:space="preserve">EV-15</t>
  </si>
  <si>
    <t xml:space="preserve">N-16</t>
  </si>
  <si>
    <t xml:space="preserve">Certificación de elegibilidad e integridad GN-2350-15 de consultores contratados</t>
  </si>
  <si>
    <t xml:space="preserve">EV-16</t>
  </si>
  <si>
    <t xml:space="preserve">N-17</t>
  </si>
  <si>
    <t xml:space="preserve">Declaración de conflicto de interés y código de conducta del equipo</t>
  </si>
  <si>
    <t xml:space="preserve">EV-17</t>
  </si>
  <si>
    <t xml:space="preserve">N-18</t>
  </si>
  <si>
    <t xml:space="preserve">No Objeción previa a cambios del MOP y reasignaciones entre categorías</t>
  </si>
  <si>
    <t xml:space="preserve">Por evento</t>
  </si>
  <si>
    <t xml:space="preserve">EV-18</t>
  </si>
  <si>
    <t xml:space="preserve">N-19</t>
  </si>
  <si>
    <t xml:space="preserve">Evaluación de medio término</t>
  </si>
  <si>
    <t xml:space="preserve">EV-19</t>
  </si>
  <si>
    <t xml:space="preserve">A1 · Equipo de la UGP</t>
  </si>
  <si>
    <t xml:space="preserve">Plazas de la UGP según el TDR: Coordinador General, Especialistas Financiero, en Adquisiciones, en Planificación, Monitoreo y Seguimiento, Social, entre otros.</t>
  </si>
  <si>
    <t xml:space="preserve">Rol</t>
  </si>
  <si>
    <t xml:space="preserve">Plazas</t>
  </si>
  <si>
    <t xml:space="preserve">Función clave en el ciclo de control</t>
  </si>
  <si>
    <t xml:space="preserve">Estado de contratación</t>
  </si>
  <si>
    <t xml:space="preserve">Instrumento principal que mantiene</t>
  </si>
  <si>
    <t xml:space="preserve">Reporta a</t>
  </si>
  <si>
    <t xml:space="preserve">Coordinador General de la UGP</t>
  </si>
  <si>
    <t xml:space="preserve">Conduce la UGP; punto focal con el BID; responsabilidad fiduciaria gerencial; decisiones y escalamiento</t>
  </si>
  <si>
    <t xml:space="preserve">Tablero, informe mensual (P1-P12), matriz de compromisos</t>
  </si>
  <si>
    <t xml:space="preserve">Gerencia de Cooperación Institucional</t>
  </si>
  <si>
    <t xml:space="preserve">Presupuesto, desembolsos, justificación de anticipos, contabilidad y auditorías</t>
  </si>
  <si>
    <t xml:space="preserve">F1, F2, F3 y F6</t>
  </si>
  <si>
    <t xml:space="preserve">Plan de Adquisiciones, procesos, contratos y No Objeciones</t>
  </si>
  <si>
    <t xml:space="preserve">F4, F5 y A3</t>
  </si>
  <si>
    <t xml:space="preserve">Especialista en Planificación, Monitoreo y Seguimiento</t>
  </si>
  <si>
    <t xml:space="preserve">POA/PEP, indicadores, riesgos, informes y línea base</t>
  </si>
  <si>
    <t xml:space="preserve">P1_POA, P1_Resultados y P1_Riesgos</t>
  </si>
  <si>
    <t xml:space="preserve">Focalización, inclusión, salvaguardas ambientales y sociales, quejas y protección de datos</t>
  </si>
  <si>
    <t xml:space="preserve">P2 y N1 (ambiental y social)</t>
  </si>
  <si>
    <t xml:space="preserve">Apoyo administrativo y de archivo</t>
  </si>
  <si>
    <t xml:space="preserve">Archivo físico y digital del Programa, logística y trámites</t>
  </si>
  <si>
    <t xml:space="preserve">Por contratar</t>
  </si>
  <si>
    <t xml:space="preserve">Índice de archivo del Programa</t>
  </si>
  <si>
    <t xml:space="preserve">A1 · Matriz de responsabilidades (RACI) de los procesos de la UGP</t>
  </si>
  <si>
    <t xml:space="preserve">R = ejecuta · A = rinde cuentas (una sola por proceso) · C = consultado · I = informado. «A/R» = rinde cuentas y ejecuta.</t>
  </si>
  <si>
    <t xml:space="preserve">Proceso</t>
  </si>
  <si>
    <t xml:space="preserve">Coord. General</t>
  </si>
  <si>
    <t xml:space="preserve">Esp. Adquisic.</t>
  </si>
  <si>
    <t xml:space="preserve">Esp. Planif. M&amp;S</t>
  </si>
  <si>
    <t xml:space="preserve">Gerencia Coop. Inst.</t>
  </si>
  <si>
    <t xml:space="preserve">Dirección General</t>
  </si>
  <si>
    <t xml:space="preserve">BID</t>
  </si>
  <si>
    <t xml:space="preserve">Chequeo (una sola A)</t>
  </si>
  <si>
    <t xml:space="preserve">Elaborar el PEP y el POA anual</t>
  </si>
  <si>
    <t xml:space="preserve">A</t>
  </si>
  <si>
    <t xml:space="preserve">C</t>
  </si>
  <si>
    <t xml:space="preserve">R</t>
  </si>
  <si>
    <t xml:space="preserve">I</t>
  </si>
  <si>
    <t xml:space="preserve">Actualizar el Plan de Adquisiciones</t>
  </si>
  <si>
    <t xml:space="preserve">Conducir procesos de adquisición y contratación</t>
  </si>
  <si>
    <t xml:space="preserve">Tramitar No Objeciones ante el BID</t>
  </si>
  <si>
    <t xml:space="preserve">Ejecución presupuestaria y registros contables</t>
  </si>
  <si>
    <t xml:space="preserve">Solicitudes de desembolso y justificación de anticipos</t>
  </si>
  <si>
    <t xml:space="preserve">Pagos a proveedores y consultores</t>
  </si>
  <si>
    <t xml:space="preserve">Seguimiento de indicadores y matriz de resultados</t>
  </si>
  <si>
    <t xml:space="preserve">Gestión de riesgos y plan de mitigación</t>
  </si>
  <si>
    <t xml:space="preserve">Cumplimiento ambiental y social, inclusión y protección de datos</t>
  </si>
  <si>
    <t xml:space="preserve">A/R</t>
  </si>
  <si>
    <t xml:space="preserve">Preparar misiones del BID y dar seguimiento a compromisos</t>
  </si>
  <si>
    <t xml:space="preserve">Auditorías y seguimiento de recomendaciones</t>
  </si>
  <si>
    <t xml:space="preserve">Cierre técnico, fiduciario y administrativo</t>
  </si>
  <si>
    <t xml:space="preserve">A2 · Misiones del BID y matriz de compromisos (aide-mémoire)</t>
  </si>
  <si>
    <t xml:space="preserve">Tabla 1 (fila 4): misiones. Tabla 2 (fila 13): compromisos asumidos. La UGP responde como punto focal ante el BID.</t>
  </si>
  <si>
    <t xml:space="preserve">Tipo de misión</t>
  </si>
  <si>
    <t xml:space="preserve">Participantes (roles)</t>
  </si>
  <si>
    <t xml:space="preserve">Temas</t>
  </si>
  <si>
    <t xml:space="preserve">N.º compromisos</t>
  </si>
  <si>
    <t xml:space="preserve">Cumplidos</t>
  </si>
  <si>
    <t xml:space="preserve">% cumplimiento</t>
  </si>
  <si>
    <t xml:space="preserve">M-01</t>
  </si>
  <si>
    <t xml:space="preserve">Misión de arranque</t>
  </si>
  <si>
    <t xml:space="preserve">Equipo de proyecto, especialistas fiduciarios y sectoriales (BID)</t>
  </si>
  <si>
    <t xml:space="preserve">Arranque, MOP, plan de adquisiciones, cuenta del Programa</t>
  </si>
  <si>
    <t xml:space="preserve">M-02</t>
  </si>
  <si>
    <t xml:space="preserve">Misión de seguimiento</t>
  </si>
  <si>
    <t xml:space="preserve">Equipo de proyecto y especialistas fiduciarios (BID)</t>
  </si>
  <si>
    <t xml:space="preserve">Avance del POA, adquisiciones, anticipos y riesgos</t>
  </si>
  <si>
    <t xml:space="preserve">Compromisos de misión</t>
  </si>
  <si>
    <t xml:space="preserve">Misión</t>
  </si>
  <si>
    <t xml:space="preserve">Compromiso</t>
  </si>
  <si>
    <t xml:space="preserve">Fecha de cumplimiento</t>
  </si>
  <si>
    <t xml:space="preserve">Cumplido en plazo</t>
  </si>
  <si>
    <t xml:space="preserve">CM-01</t>
  </si>
  <si>
    <t xml:space="preserve">Presentar el Plan de Adquisiciones a 18 meses para No Objeción</t>
  </si>
  <si>
    <t xml:space="preserve">Cumplido</t>
  </si>
  <si>
    <t xml:space="preserve">CM-02</t>
  </si>
  <si>
    <t xml:space="preserve">Entregar la matriz de resultados con línea base provisional</t>
  </si>
  <si>
    <t xml:space="preserve">CM-03</t>
  </si>
  <si>
    <t xml:space="preserve">Abrir la cuenta bancaria exclusiva del Programa</t>
  </si>
  <si>
    <t xml:space="preserve">CM-04</t>
  </si>
  <si>
    <t xml:space="preserve">Aprobar el manual de procedimientos fiduciarios internos</t>
  </si>
  <si>
    <t xml:space="preserve">CM-05</t>
  </si>
  <si>
    <t xml:space="preserve">Presentar el marco de gestión ambiental y social</t>
  </si>
  <si>
    <t xml:space="preserve">CM-06</t>
  </si>
  <si>
    <t xml:space="preserve">Subsanar observaciones al expediente de adquisición PA-02</t>
  </si>
  <si>
    <t xml:space="preserve">CM-07</t>
  </si>
  <si>
    <t xml:space="preserve">Actualizar PEP y POA con la reprogramación del sistema de información</t>
  </si>
  <si>
    <t xml:space="preserve">CM-08</t>
  </si>
  <si>
    <t xml:space="preserve">Justificar el umbral de anticipos antes de un nuevo pedido</t>
  </si>
  <si>
    <t xml:space="preserve">CM-09</t>
  </si>
  <si>
    <t xml:space="preserve">Informar plan de mitigación del retraso en C4-03 y C4-04</t>
  </si>
  <si>
    <t xml:space="preserve">CM-10</t>
  </si>
  <si>
    <t xml:space="preserve">Enviar el informe de línea base de indicadores</t>
  </si>
  <si>
    <t xml:space="preserve">A3 · Registro de No Objeciones y solicitudes al BID</t>
  </si>
  <si>
    <t xml:space="preserve">La UGP es el canal ordinario con el BID. El plazo de referencia (Parametros: Plazo_NO) es interno, no un plazo del BID.</t>
  </si>
  <si>
    <t xml:space="preserve">Asunto</t>
  </si>
  <si>
    <t xml:space="preserve">Tipo</t>
  </si>
  <si>
    <t xml:space="preserve">Fecha de solicitud</t>
  </si>
  <si>
    <t xml:space="preserve">Fecha de respuesta</t>
  </si>
  <si>
    <t xml:space="preserve">Plazo de referencia</t>
  </si>
  <si>
    <t xml:space="preserve">Observaciones</t>
  </si>
  <si>
    <t xml:space="preserve">NO-01</t>
  </si>
  <si>
    <t xml:space="preserve">Plan de Adquisiciones inicial</t>
  </si>
  <si>
    <t xml:space="preserve">Plan de Adquisiciones</t>
  </si>
  <si>
    <t xml:space="preserve">Otorgada</t>
  </si>
  <si>
    <t xml:space="preserve">NO-02</t>
  </si>
  <si>
    <t xml:space="preserve">TdR y selección de especialistas de la UGP (3CV)</t>
  </si>
  <si>
    <t xml:space="preserve">TdR / pliegos</t>
  </si>
  <si>
    <t xml:space="preserve">NO-03</t>
  </si>
  <si>
    <t xml:space="preserve">Pliego SBCC: consultoría del modelo de captación (PA-01)</t>
  </si>
  <si>
    <t xml:space="preserve">NO-04</t>
  </si>
  <si>
    <t xml:space="preserve">Evaluación y adjudicación CT-01</t>
  </si>
  <si>
    <t xml:space="preserve">Evaluación y adjudicación</t>
  </si>
  <si>
    <t xml:space="preserve">NO-05</t>
  </si>
  <si>
    <t xml:space="preserve">Pliego LPN: plataforma de registro (PA-02)</t>
  </si>
  <si>
    <t xml:space="preserve">NO-06</t>
  </si>
  <si>
    <t xml:space="preserve">Evaluación y adjudicación CT-02</t>
  </si>
  <si>
    <t xml:space="preserve">NO-07</t>
  </si>
  <si>
    <t xml:space="preserve">Modificación del MOP: anexo de criterios de elegibilidad</t>
  </si>
  <si>
    <t xml:space="preserve">Con observaciones</t>
  </si>
  <si>
    <t xml:space="preserve">El BID pidió precisar criterios de personas con discapacidad; respuesta en preparación</t>
  </si>
  <si>
    <t xml:space="preserve">NO-08</t>
  </si>
  <si>
    <t xml:space="preserve">Pliego LPI: sistema de información de trayectorias (PA-10)</t>
  </si>
  <si>
    <t xml:space="preserve">NO-09</t>
  </si>
  <si>
    <t xml:space="preserve">Evaluación y adjudicación CT-09</t>
  </si>
  <si>
    <t xml:space="preserve">NO-10</t>
  </si>
  <si>
    <t xml:space="preserve">Pliego LPI: equipamiento tecnológico (PA-11)</t>
  </si>
  <si>
    <t xml:space="preserve">NO-11</t>
  </si>
  <si>
    <t xml:space="preserve">Pliego LPN: equipamiento de accesibilidad (PA-06)</t>
  </si>
  <si>
    <t xml:space="preserve">NO-12</t>
  </si>
  <si>
    <t xml:space="preserve">TdR y SBCC: capacitación a instituciones (PA-12)</t>
  </si>
  <si>
    <t xml:space="preserve">Esperando respuesta</t>
  </si>
  <si>
    <t xml:space="preserve">NO-13</t>
  </si>
  <si>
    <t xml:space="preserve">Reasignación entre categorías de inversión (ajuste del POA)</t>
  </si>
  <si>
    <t xml:space="preserve">Reasignación presupuestaria</t>
  </si>
  <si>
    <t xml:space="preserve">A4 · Registro y estrategia de interesados (poder / interés)</t>
  </si>
  <si>
    <t xml:space="preserve">Cuadrante: poder ≥ 4 e interés ≥ 4 → gestionar de cerca; poder ≥ 4 → mantener satisfecho; interés ≥ 4 → mantener informado; resto → monitorear.</t>
  </si>
  <si>
    <t xml:space="preserve">Interesado</t>
  </si>
  <si>
    <t xml:space="preserve">Rol en el Programa</t>
  </si>
  <si>
    <t xml:space="preserve">Poder (1-5)</t>
  </si>
  <si>
    <t xml:space="preserve">Interés (1-5)</t>
  </si>
  <si>
    <t xml:space="preserve">Actitud</t>
  </si>
  <si>
    <t xml:space="preserve">Cuadrante</t>
  </si>
  <si>
    <t xml:space="preserve">Prioridad (P×I)</t>
  </si>
  <si>
    <t xml:space="preserve">Estrategia de comunicación</t>
  </si>
  <si>
    <t xml:space="preserve">Banco Interamericano de Desarrollo (equipo de proyecto)</t>
  </si>
  <si>
    <t xml:space="preserve">Financiador; no objeciones, misiones y desembolsos</t>
  </si>
  <si>
    <t xml:space="preserve">Líder</t>
  </si>
  <si>
    <t xml:space="preserve">Informe mensual, reuniones de seguimiento y misiones</t>
  </si>
  <si>
    <t xml:space="preserve">Dirección General de la Dirección de Integración</t>
  </si>
  <si>
    <t xml:space="preserve">Autoridad del Organismo Ejecutor; decisiones estratégicas</t>
  </si>
  <si>
    <t xml:space="preserve">Reunión de decisiones y alertas escaladas</t>
  </si>
  <si>
    <t xml:space="preserve">Supervisión contractual y aprobación de productos de la UGP</t>
  </si>
  <si>
    <t xml:space="preserve">A favor</t>
  </si>
  <si>
    <t xml:space="preserve">Informe mensual y reunión de coordinación</t>
  </si>
  <si>
    <t xml:space="preserve">I-04</t>
  </si>
  <si>
    <t xml:space="preserve">Ministerio de Hacienda</t>
  </si>
  <si>
    <t xml:space="preserve">Autoridad fiscal; programación y contrapartidas</t>
  </si>
  <si>
    <t xml:space="preserve">Neutral</t>
  </si>
  <si>
    <t xml:space="preserve">Informes de ejecución y proyecciones de desembolso</t>
  </si>
  <si>
    <t xml:space="preserve">I-05</t>
  </si>
  <si>
    <t xml:space="preserve">Ministerio de Educación, Ciencia y Tecnología</t>
  </si>
  <si>
    <t xml:space="preserve">Rector del sistema educativo; articulación con educación media</t>
  </si>
  <si>
    <t xml:space="preserve">Mesa técnica y convenios</t>
  </si>
  <si>
    <t xml:space="preserve">I-06</t>
  </si>
  <si>
    <t xml:space="preserve">Corte de Cuentas de la República</t>
  </si>
  <si>
    <t xml:space="preserve">Control externo</t>
  </si>
  <si>
    <t xml:space="preserve">Entrega de información y atención de requerimientos</t>
  </si>
  <si>
    <t xml:space="preserve">Por requerimiento</t>
  </si>
  <si>
    <t xml:space="preserve">I-07</t>
  </si>
  <si>
    <t xml:space="preserve">Instituciones de educación postsecundaria (públicas)</t>
  </si>
  <si>
    <t xml:space="preserve">Receptoras de beneficiarios; fortalecimiento institucional</t>
  </si>
  <si>
    <t xml:space="preserve">Convenios, capacitación y mesas de coordinación</t>
  </si>
  <si>
    <t xml:space="preserve">I-08</t>
  </si>
  <si>
    <t xml:space="preserve">Instituciones de educación postsecundaria (privadas)</t>
  </si>
  <si>
    <t xml:space="preserve">Receptoras de beneficiarios</t>
  </si>
  <si>
    <t xml:space="preserve">Convocatorias y convenios</t>
  </si>
  <si>
    <t xml:space="preserve">I-09</t>
  </si>
  <si>
    <t xml:space="preserve">Empleadores y gremios</t>
  </si>
  <si>
    <t xml:space="preserve">Vinculación laboral de las personas graduadas</t>
  </si>
  <si>
    <t xml:space="preserve">Alianzas y encuentros sectoriales</t>
  </si>
  <si>
    <t xml:space="preserve">I-10</t>
  </si>
  <si>
    <t xml:space="preserve">Organizaciones de personas con discapacidad y de sociedad civil</t>
  </si>
  <si>
    <t xml:space="preserve">Accesibilidad, veeduría social y mecanismo de quejas</t>
  </si>
  <si>
    <t xml:space="preserve">Consultas y devolución de resultados</t>
  </si>
  <si>
    <t xml:space="preserve">I-11</t>
  </si>
  <si>
    <t xml:space="preserve">Jóvenes beneficiarios y sus familias</t>
  </si>
  <si>
    <t xml:space="preserve">Población objetivo</t>
  </si>
  <si>
    <t xml:space="preserve">Canales de atención, mecanismo de quejas y comunicación directa</t>
  </si>
  <si>
    <t xml:space="preserve">I-12</t>
  </si>
  <si>
    <t xml:space="preserve">Proveedores y consultores</t>
  </si>
  <si>
    <t xml:space="preserve">Ejecutores de contratos y servicios</t>
  </si>
  <si>
    <t xml:space="preserve">Reuniones de arranque y supervisión de contratos</t>
  </si>
  <si>
    <t xml:space="preserve">Según contrato</t>
  </si>
  <si>
    <t xml:space="preserve">I-13</t>
  </si>
  <si>
    <t xml:space="preserve">Gobiernos locales</t>
  </si>
  <si>
    <t xml:space="preserve">Facilitan acceso territorial y ferias de orientación</t>
  </si>
  <si>
    <t xml:space="preserve">Coordinación territorial</t>
  </si>
  <si>
    <t xml:space="preserve">A5 · Calendario de productos de la consultoría (P1-P12) y habilitación de pagos</t>
  </si>
  <si>
    <t xml:space="preserve">TDR §VII y §XIII: informes mensuales a 3 días hábiles del cierre; el pago de US$4,200 se libera con la aprobación formal del informe.</t>
  </si>
  <si>
    <t xml:space="preserve">Código</t>
  </si>
  <si>
    <t xml:space="preserve">Periodicidad</t>
  </si>
  <si>
    <t xml:space="preserve">Fecha de entrega</t>
  </si>
  <si>
    <t xml:space="preserve">Estado de entrega</t>
  </si>
  <si>
    <t xml:space="preserve">Conformidad</t>
  </si>
  <si>
    <t xml:space="preserve">Honorario USD</t>
  </si>
  <si>
    <t xml:space="preserve">Pago habilitado</t>
  </si>
  <si>
    <t xml:space="preserve">Desvío (días)</t>
  </si>
  <si>
    <t xml:space="preserve">P1</t>
  </si>
  <si>
    <t xml:space="preserve">Plan de trabajo inicial e informe mensual de gestión</t>
  </si>
  <si>
    <t xml:space="preserve">Al final del primer mes de la contratación</t>
  </si>
  <si>
    <t xml:space="preserve">Conforme</t>
  </si>
  <si>
    <t xml:space="preserve">P2</t>
  </si>
  <si>
    <t xml:space="preserve">Informe mensual de gestión</t>
  </si>
  <si>
    <t xml:space="preserve">Mensual / tres días hábiles posteriores al cierre del mes a reportar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</si>
  <si>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</si>
  <si>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</si>
  <si>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</si>
  <si>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</si>
  <si>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</si>
  <si>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</si>
  <si>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</si>
  <si>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</si>
  <si>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</si>
  <si>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</si>
  <si>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Informe anual</t>
  </si>
  <si>
    <t xml:space="preserve">Diez días previos al cierre del año</t>
  </si>
  <si>
    <t xml:space="preserve">Los feriados no se descuentan en WORKDAY; si el MOP o el contrato los excluyen, agregue la lista de feriados como tercer argumento.</t>
  </si>
  <si>
    <t xml:space="preserve">A6 · Informe mensual de gestión — borrador automático (contenido mínimo del TDR §VII)</t>
  </si>
  <si>
    <t xml:space="preserve">Cada línea se calcula desde las demás hojas. Los textos en azul (decisiones, prioridades) los redacta la UGP antes de entregar el informe.</t>
  </si>
  <si>
    <t xml:space="preserve">Sección del TDR</t>
  </si>
  <si>
    <t xml:space="preserve">Elemento</t>
  </si>
  <si>
    <t xml:space="preserve">1. Resumen ejecutivo</t>
  </si>
  <si>
    <t xml:space="preserve">Fecha de corte del informe</t>
  </si>
  <si>
    <t xml:space="preserve">Avance físico acumulado del POA</t>
  </si>
  <si>
    <t xml:space="preserve">Avance físico planificado a la fecha</t>
  </si>
  <si>
    <t xml:space="preserve">Ejecución financiera del POA</t>
  </si>
  <si>
    <t xml:space="preserve">SPI / CPI del Programa</t>
  </si>
  <si>
    <t xml:space="preserve">Alertas críticas (rojos: actividades, riesgos altos, obligaciones y compromisos vencidos)</t>
  </si>
  <si>
    <t xml:space="preserve">Varias hojas</t>
  </si>
  <si>
    <t xml:space="preserve">Logros y decisiones requeridas (redactar)</t>
  </si>
  <si>
    <t xml:space="preserve">Aprobar la reprogramación de C4 y priorizar las No Objeciones pendientes</t>
  </si>
  <si>
    <t xml:space="preserve">Redacción UGP</t>
  </si>
  <si>
    <t xml:space="preserve">2. Avance de actividades y productos vs. POA</t>
  </si>
  <si>
    <t xml:space="preserve">Actividades del POA</t>
  </si>
  <si>
    <t xml:space="preserve">Completadas</t>
  </si>
  <si>
    <t xml:space="preserve">Con alerta (semáforo amarillo o rojo)</t>
  </si>
  <si>
    <t xml:space="preserve">Vencidas sin completar</t>
  </si>
  <si>
    <t xml:space="preserve">3. Metas e indicadores</t>
  </si>
  <si>
    <t xml:space="preserve">Indicadores en verde</t>
  </si>
  <si>
    <t xml:space="preserve">Indicadores en amarillo</t>
  </si>
  <si>
    <t xml:space="preserve">Indicadores en rojo</t>
  </si>
  <si>
    <t xml:space="preserve">Indicadores sin dato en el período</t>
  </si>
  <si>
    <t xml:space="preserve">4. Ejecución financiera y proyecciones</t>
  </si>
  <si>
    <t xml:space="preserve">% ejecutado sobre el total</t>
  </si>
  <si>
    <t xml:space="preserve">Proyectado acumulado a los trimestres cerrados (USD)</t>
  </si>
  <si>
    <t xml:space="preserve">Real acumulado a la fecha de corte (USD)</t>
  </si>
  <si>
    <t xml:space="preserve">Alerta de anticipos</t>
  </si>
  <si>
    <t xml:space="preserve">5. Adquisiciones y contratos</t>
  </si>
  <si>
    <t xml:space="preserve">Procesos en el Plan de Adquisiciones</t>
  </si>
  <si>
    <t xml:space="preserve">Procesos contratados</t>
  </si>
  <si>
    <t xml:space="preserve">Procesos atrasados</t>
  </si>
  <si>
    <t xml:space="preserve">Contratos vigentes / por vencer / vencidos</t>
  </si>
  <si>
    <t xml:space="preserve">6. Compromisos, No Objeciones y BID</t>
  </si>
  <si>
    <t xml:space="preserve">No Objeciones pendientes</t>
  </si>
  <si>
    <t xml:space="preserve">7. Riesgos, incidentes y asuntos escalados</t>
  </si>
  <si>
    <t xml:space="preserve">Riesgos medios abiertos</t>
  </si>
  <si>
    <t xml:space="preserve">Riesgo prioritario n.º 1</t>
  </si>
  <si>
    <t xml:space="preserve">Riesgo prioritario n.º 2</t>
  </si>
  <si>
    <t xml:space="preserve">Riesgo prioritario n.º 3</t>
  </si>
  <si>
    <t xml:space="preserve">8. Cumplimiento ambiental, social, inclusión y datos</t>
  </si>
  <si>
    <t xml:space="preserve">Beneficiarios alcanzados / meta año 1</t>
  </si>
  <si>
    <t xml:space="preserve">Madres jóvenes, personas con discapacidad y retornadas/os atendidas</t>
  </si>
  <si>
    <t xml:space="preserve">9. Gestión de la UGP</t>
  </si>
  <si>
    <t xml:space="preserve">Informes entregados a tiempo</t>
  </si>
  <si>
    <t xml:space="preserve">Plazas de la UGP cubiertas</t>
  </si>
  <si>
    <t xml:space="preserve">Recomendaciones de auditoría vencidas</t>
  </si>
  <si>
    <t xml:space="preserve">10-12. Próximo período, matriz y anexos</t>
  </si>
  <si>
    <t xml:space="preserve">Prioridades del próximo período (redactar)</t>
  </si>
  <si>
    <t xml:space="preserve">Cerrar adjudicaciones PA-11 y PA-12; presentar la línea base; justificar anticipos al 80 %</t>
  </si>
  <si>
    <t xml:space="preserve">Anexos y archivo</t>
  </si>
  <si>
    <t xml:space="preserve">Enlaces a evidencia documental organizada por proceso (expediente del Programa)</t>
  </si>
  <si>
    <t xml:space="preserve">Listas de valores (fuentes de las listas desplegables)</t>
  </si>
  <si>
    <t xml:space="preserve">Para agregar un valor, escríbalo debajo de la última fila de su lista y amplíe el rango en Datos &gt; Validación de datos.</t>
  </si>
  <si>
    <t xml:space="preserve">Categoria_gasto</t>
  </si>
  <si>
    <t xml:space="preserve">Estado_pago</t>
  </si>
  <si>
    <t xml:space="preserve">Justificado</t>
  </si>
  <si>
    <t xml:space="preserve">Metodo_adq</t>
  </si>
  <si>
    <t xml:space="preserve">Estado_adq</t>
  </si>
  <si>
    <t xml:space="preserve">Categoria_adq</t>
  </si>
  <si>
    <t xml:space="preserve">Revision</t>
  </si>
  <si>
    <t xml:space="preserve">Estado_cumpl</t>
  </si>
  <si>
    <t xml:space="preserve">Estado_compromiso</t>
  </si>
  <si>
    <t xml:space="preserve">Estado_NO</t>
  </si>
  <si>
    <t xml:space="preserve">Estado_riesgo</t>
  </si>
  <si>
    <t xml:space="preserve">Categoria_riesgo</t>
  </si>
  <si>
    <t xml:space="preserve">Respuesta_riesgo</t>
  </si>
  <si>
    <t xml:space="preserve">Escala</t>
  </si>
  <si>
    <t xml:space="preserve">Tipo_meta</t>
  </si>
  <si>
    <t xml:space="preserve">Estado_audit</t>
  </si>
  <si>
    <t xml:space="preserve">Estado_hallazgo</t>
  </si>
  <si>
    <t xml:space="preserve">Planificado</t>
  </si>
  <si>
    <t xml:space="preserve">Reembolso de gastos</t>
  </si>
  <si>
    <t xml:space="preserve">Por pagar</t>
  </si>
  <si>
    <t xml:space="preserve">Obras</t>
  </si>
  <si>
    <t xml:space="preserve">Convenio GR 6154/GR-ES</t>
  </si>
  <si>
    <t xml:space="preserve">Cerrado</t>
  </si>
  <si>
    <t xml:space="preserve">Transferir</t>
  </si>
  <si>
    <t xml:space="preserve">Contratación directa</t>
  </si>
  <si>
    <t xml:space="preserve">En contra</t>
  </si>
  <si>
    <t xml:space="preserve">Normativa nacional</t>
  </si>
  <si>
    <t xml:space="preserve">SBC</t>
  </si>
  <si>
    <t xml:space="preserve">SBMC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</si>
</sst>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;[RED]\-#,##0;\-"/>
    <numFmt numFmtId="167" formatCode="0.0%;[RED]\-0.0%;\-"/>
    <numFmt numFmtId="168" formatCode="0.00"/>
    <numFmt numFmtId="169" formatCode="0"/>
    <numFmt numFmtId="170" formatCode="0;\-0;&quot;&quot;"/>
    <numFmt numFmtId="171" formatCode="#,##0"/>
    <numFmt numFmtId="172" formatCode="#,##0;[RED]\-#,##0;0"/>
    <numFmt numFmtId="173" formatCode="0.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563C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C55A11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POA año 1 por componente: presupuesto, valor ganado (EV) y costo real (AC), USD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"Presupuesto POA"</c:f>
              <c:strCache>
                <c:ptCount val="1"/>
                <c:pt idx="0">
                  <c:v>Presupuesto POA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P1_Avance_FF!$A$5:$A$9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P1_Avance_FF!$C$5:$C$9</c:f>
              <c:numCache>
                <c:formatCode>#,##0;[RED]\-#,##0;\-</c:formatCode>
                <c:ptCount val="5"/>
                <c:pt idx="0">
                  <c:v>1030000</c:v>
                </c:pt>
                <c:pt idx="1">
                  <c:v>1800000</c:v>
                </c:pt>
                <c:pt idx="2">
                  <c:v>500000</c:v>
                </c:pt>
                <c:pt idx="3">
                  <c:v>2300000</c:v>
                </c:pt>
                <c:pt idx="4">
                  <c:v>870000</c:v>
                </c:pt>
              </c:numCache>
            </c:numRef>
          </c:val>
        </c:ser>
        <c:ser>
          <c:idx val="1"/>
          <c:order val="1"/>
          <c:tx>
            <c:strRef>
              <c:f>"Valor ganado (EV)"</c:f>
              <c:strCache>
                <c:ptCount val="1"/>
                <c:pt idx="0">
                  <c:v>Valor ganado (EV)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P1_Avance_FF!$A$5:$A$9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P1_Avance_FF!$H$5:$H$9</c:f>
              <c:numCache>
                <c:formatCode>#,##0;[RED]\-#,##0;\-</c:formatCode>
                <c:ptCount val="5"/>
                <c:pt idx="0">
                  <c:v>699600</c:v>
                </c:pt>
                <c:pt idx="1">
                  <c:v>765000</c:v>
                </c:pt>
                <c:pt idx="2">
                  <c:v>273100</c:v>
                </c:pt>
                <c:pt idx="3">
                  <c:v>777500</c:v>
                </c:pt>
                <c:pt idx="4">
                  <c:v>396300</c:v>
                </c:pt>
              </c:numCache>
            </c:numRef>
          </c:val>
        </c:ser>
        <c:ser>
          <c:idx val="2"/>
          <c:order val="2"/>
          <c:tx>
            <c:strRef>
              <c:f>"Costo real (AC)"</c:f>
              <c:strCache>
                <c:ptCount val="1"/>
                <c:pt idx="0">
                  <c:v>Costo real (AC)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P1_Avance_FF!$A$5:$A$9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P1_Avance_FF!$D$5:$D$9</c:f>
              <c:numCache>
                <c:formatCode>#,##0;[RED]\-#,##0;\-</c:formatCode>
                <c:ptCount val="5"/>
                <c:pt idx="0">
                  <c:v>627600</c:v>
                </c:pt>
                <c:pt idx="1">
                  <c:v>735300</c:v>
                </c:pt>
                <c:pt idx="2">
                  <c:v>268200</c:v>
                </c:pt>
                <c:pt idx="3">
                  <c:v>722850</c:v>
                </c:pt>
                <c:pt idx="4">
                  <c:v>374400</c:v>
                </c:pt>
              </c:numCache>
            </c:numRef>
          </c:val>
        </c:ser>
        <c:gapWidth val="150"/>
        <c:overlap val="0"/>
        <c:axId val="49434123"/>
        <c:axId val="72760261"/>
      </c:barChart>
      <c:catAx>
        <c:axId val="49434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60261"/>
        <c:crosses val="autoZero"/>
        <c:auto val="1"/>
        <c:lblAlgn val="ctr"/>
        <c:lblOffset val="100"/>
        <c:noMultiLvlLbl val="0"/>
      </c:catAx>
      <c:valAx>
        <c:axId val="7276026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341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trimestral: proyectado vs. real, USD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"Proyectado"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F3_Plan_Financiero!$A$5:$A$12</c:f>
              <c:strCache>
                <c:ptCount val="8"/>
                <c:pt idx="0">
                  <c:v>2027-T1</c:v>
                </c:pt>
                <c:pt idx="1">
                  <c:v>2027-T2</c:v>
                </c:pt>
                <c:pt idx="2">
                  <c:v>2027-T3</c:v>
                </c:pt>
                <c:pt idx="3">
                  <c:v>2027-T4</c:v>
                </c:pt>
                <c:pt idx="4">
                  <c:v>2028-T1</c:v>
                </c:pt>
                <c:pt idx="5">
                  <c:v>2028-T2</c:v>
                </c:pt>
                <c:pt idx="6">
                  <c:v>2028-T3</c:v>
                </c:pt>
                <c:pt idx="7">
                  <c:v>2028-T4</c:v>
                </c:pt>
              </c:strCache>
            </c:strRef>
          </c:cat>
          <c:val>
            <c:numRef>
              <c:f>F3_Plan_Financiero!$D$5:$D$12</c:f>
              <c:numCache>
                <c:formatCode>#,##0;[RED]\-#,##0;\-</c:formatCode>
                <c:ptCount val="8"/>
                <c:pt idx="0">
                  <c:v>780000</c:v>
                </c:pt>
                <c:pt idx="1">
                  <c:v>1950000</c:v>
                </c:pt>
                <c:pt idx="2">
                  <c:v>1820000</c:v>
                </c:pt>
                <c:pt idx="3">
                  <c:v>1950000</c:v>
                </c:pt>
                <c:pt idx="4">
                  <c:v>4720000</c:v>
                </c:pt>
                <c:pt idx="5">
                  <c:v>5360000</c:v>
                </c:pt>
                <c:pt idx="6">
                  <c:v>5570000</c:v>
                </c:pt>
                <c:pt idx="7">
                  <c:v>5790000</c:v>
                </c:pt>
              </c:numCache>
            </c:numRef>
          </c:val>
        </c:ser>
        <c:ser>
          <c:idx val="1"/>
          <c:order val="1"/>
          <c:tx>
            <c:strRef>
              <c:f>"Real"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F3_Plan_Financiero!$A$5:$A$12</c:f>
              <c:strCache>
                <c:ptCount val="8"/>
                <c:pt idx="0">
                  <c:v>2027-T1</c:v>
                </c:pt>
                <c:pt idx="1">
                  <c:v>2027-T2</c:v>
                </c:pt>
                <c:pt idx="2">
                  <c:v>2027-T3</c:v>
                </c:pt>
                <c:pt idx="3">
                  <c:v>2027-T4</c:v>
                </c:pt>
                <c:pt idx="4">
                  <c:v>2028-T1</c:v>
                </c:pt>
                <c:pt idx="5">
                  <c:v>2028-T2</c:v>
                </c:pt>
                <c:pt idx="6">
                  <c:v>2028-T3</c:v>
                </c:pt>
                <c:pt idx="7">
                  <c:v>2028-T4</c:v>
                </c:pt>
              </c:strCache>
            </c:strRef>
          </c:cat>
          <c:val>
            <c:numRef>
              <c:f>F3_Plan_Financiero!$E$5:$E$12</c:f>
              <c:numCache>
                <c:formatCode>#,##0;[RED]\-#,##0;\-</c:formatCode>
                <c:ptCount val="8"/>
                <c:pt idx="0">
                  <c:v>574950</c:v>
                </c:pt>
                <c:pt idx="1">
                  <c:v>2153400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72333739"/>
        <c:axId val="83705285"/>
      </c:barChart>
      <c:catAx>
        <c:axId val="72333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05285"/>
        <c:crosses val="autoZero"/>
        <c:auto val="1"/>
        <c:lblAlgn val="ctr"/>
        <c:lblOffset val="100"/>
        <c:noMultiLvlLbl val="0"/>
      </c:catAx>
      <c:valAx>
        <c:axId val="8370528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337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Beneficiarios por departamento: meta año 1 vs. alcanzado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"Meta año 1"</c:f>
              <c:strCache>
                <c:ptCount val="1"/>
                <c:pt idx="0">
                  <c:v>Meta año 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P2_Focalizacion!$A$5:$A$18</c:f>
              <c:strCache>
                <c:ptCount val="14"/>
                <c:pt idx="0">
                  <c:v>Ahuachapán</c:v>
                </c:pt>
                <c:pt idx="1">
                  <c:v>Cabañas</c:v>
                </c:pt>
                <c:pt idx="2">
                  <c:v>Chalatenango</c:v>
                </c:pt>
                <c:pt idx="3">
                  <c:v>Cuscatlán</c:v>
                </c:pt>
                <c:pt idx="4">
                  <c:v>La Libertad</c:v>
                </c:pt>
                <c:pt idx="5">
                  <c:v>La Paz</c:v>
                </c:pt>
                <c:pt idx="6">
                  <c:v>La Unión</c:v>
                </c:pt>
                <c:pt idx="7">
                  <c:v>Morazán</c:v>
                </c:pt>
                <c:pt idx="8">
                  <c:v>San Miguel</c:v>
                </c:pt>
                <c:pt idx="9">
                  <c:v>San Salvador</c:v>
                </c:pt>
                <c:pt idx="10">
                  <c:v>San Vicente</c:v>
                </c:pt>
                <c:pt idx="11">
                  <c:v>Santa Ana</c:v>
                </c:pt>
                <c:pt idx="12">
                  <c:v>Sonsonate</c:v>
                </c:pt>
                <c:pt idx="13">
                  <c:v>Usulután</c:v>
                </c:pt>
              </c:strCache>
            </c:strRef>
          </c:cat>
          <c:val>
            <c:numRef>
              <c:f>P2_Focalizacion!$F$5:$F$18</c:f>
              <c:numCache>
                <c:formatCode>#,##0</c:formatCode>
                <c:ptCount val="14"/>
                <c:pt idx="0">
                  <c:v>407</c:v>
                </c:pt>
                <c:pt idx="1">
                  <c:v>209</c:v>
                </c:pt>
                <c:pt idx="2">
                  <c:v>268</c:v>
                </c:pt>
                <c:pt idx="3">
                  <c:v>234</c:v>
                </c:pt>
                <c:pt idx="4">
                  <c:v>648</c:v>
                </c:pt>
                <c:pt idx="5">
                  <c:v>311</c:v>
                </c:pt>
                <c:pt idx="6">
                  <c:v>344</c:v>
                </c:pt>
                <c:pt idx="7">
                  <c:v>212</c:v>
                </c:pt>
                <c:pt idx="8">
                  <c:v>552</c:v>
                </c:pt>
                <c:pt idx="9">
                  <c:v>1117</c:v>
                </c:pt>
                <c:pt idx="10">
                  <c:v>260</c:v>
                </c:pt>
                <c:pt idx="11">
                  <c:v>600</c:v>
                </c:pt>
                <c:pt idx="12">
                  <c:v>442</c:v>
                </c:pt>
                <c:pt idx="13">
                  <c:v>396</c:v>
                </c:pt>
              </c:numCache>
            </c:numRef>
          </c:val>
        </c:ser>
        <c:ser>
          <c:idx val="1"/>
          <c:order val="1"/>
          <c:tx>
            <c:strRef>
              <c:f>"Alcanzado"</c:f>
              <c:strCache>
                <c:ptCount val="1"/>
                <c:pt idx="0">
                  <c:v>Alcanzado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P2_Focalizacion!$A$5:$A$18</c:f>
              <c:strCache>
                <c:ptCount val="14"/>
                <c:pt idx="0">
                  <c:v>Ahuachapán</c:v>
                </c:pt>
                <c:pt idx="1">
                  <c:v>Cabañas</c:v>
                </c:pt>
                <c:pt idx="2">
                  <c:v>Chalatenango</c:v>
                </c:pt>
                <c:pt idx="3">
                  <c:v>Cuscatlán</c:v>
                </c:pt>
                <c:pt idx="4">
                  <c:v>La Libertad</c:v>
                </c:pt>
                <c:pt idx="5">
                  <c:v>La Paz</c:v>
                </c:pt>
                <c:pt idx="6">
                  <c:v>La Unión</c:v>
                </c:pt>
                <c:pt idx="7">
                  <c:v>Morazán</c:v>
                </c:pt>
                <c:pt idx="8">
                  <c:v>San Miguel</c:v>
                </c:pt>
                <c:pt idx="9">
                  <c:v>San Salvador</c:v>
                </c:pt>
                <c:pt idx="10">
                  <c:v>San Vicente</c:v>
                </c:pt>
                <c:pt idx="11">
                  <c:v>Santa Ana</c:v>
                </c:pt>
                <c:pt idx="12">
                  <c:v>Sonsonate</c:v>
                </c:pt>
                <c:pt idx="13">
                  <c:v>Usulután</c:v>
                </c:pt>
              </c:strCache>
            </c:strRef>
          </c:cat>
          <c:val>
            <c:numRef>
              <c:f>P2_Focalizacion!$G$5:$G$18</c:f>
              <c:numCache>
                <c:formatCode>#,##0</c:formatCode>
                <c:ptCount val="14"/>
                <c:pt idx="0">
                  <c:v>116</c:v>
                </c:pt>
                <c:pt idx="1">
                  <c:v>57</c:v>
                </c:pt>
                <c:pt idx="2">
                  <c:v>98</c:v>
                </c:pt>
                <c:pt idx="3">
                  <c:v>96</c:v>
                </c:pt>
                <c:pt idx="4">
                  <c:v>315</c:v>
                </c:pt>
                <c:pt idx="5">
                  <c:v>139</c:v>
                </c:pt>
                <c:pt idx="6">
                  <c:v>93</c:v>
                </c:pt>
                <c:pt idx="7">
                  <c:v>66</c:v>
                </c:pt>
                <c:pt idx="8">
                  <c:v>226</c:v>
                </c:pt>
                <c:pt idx="9">
                  <c:v>406</c:v>
                </c:pt>
                <c:pt idx="10">
                  <c:v>125</c:v>
                </c:pt>
                <c:pt idx="11">
                  <c:v>265</c:v>
                </c:pt>
                <c:pt idx="12">
                  <c:v>192</c:v>
                </c:pt>
                <c:pt idx="13">
                  <c:v>186</c:v>
                </c:pt>
              </c:numCache>
            </c:numRef>
          </c:val>
        </c:ser>
        <c:gapWidth val="150"/>
        <c:overlap val="0"/>
        <c:axId val="62262339"/>
        <c:axId val="99775269"/>
      </c:barChart>
      <c:catAx>
        <c:axId val="62262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75269"/>
        <c:crosses val="autoZero"/>
        <c:auto val="1"/>
        <c:lblAlgn val="ctr"/>
        <c:lblOffset val="100"/>
        <c:noMultiLvlLbl val="0"/>
      </c:catAx>
      <c:valAx>
        <c:axId val="9977526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623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4680</xdr:colOff>
      <xdr:row>18</xdr:row>
      <xdr:rowOff>87840</xdr:rowOff>
    </xdr:to>
    <xdr:graphicFrame>
      <xdr:nvGraphicFramePr>
        <xdr:cNvPr id="0" name="Chart 1"/>
        <xdr:cNvGraphicFramePr/>
      </xdr:nvGraphicFramePr>
      <xdr:xfrm>
        <a:off x="9729000" y="6858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17</xdr:col>
      <xdr:colOff>4680</xdr:colOff>
      <xdr:row>37</xdr:row>
      <xdr:rowOff>11880</xdr:rowOff>
    </xdr:to>
    <xdr:graphicFrame>
      <xdr:nvGraphicFramePr>
        <xdr:cNvPr id="1" name="Chart 2"/>
        <xdr:cNvGraphicFramePr/>
      </xdr:nvGraphicFramePr>
      <xdr:xfrm>
        <a:off x="9729000" y="42292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39</xdr:row>
      <xdr:rowOff>0</xdr:rowOff>
    </xdr:from>
    <xdr:to>
      <xdr:col>17</xdr:col>
      <xdr:colOff>4680</xdr:colOff>
      <xdr:row>59</xdr:row>
      <xdr:rowOff>149760</xdr:rowOff>
    </xdr:to>
    <xdr:graphicFrame>
      <xdr:nvGraphicFramePr>
        <xdr:cNvPr id="2" name="Chart 3"/>
        <xdr:cNvGraphicFramePr/>
      </xdr:nvGraphicFramePr>
      <xdr:xfrm>
        <a:off x="9729000" y="76582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pre/UGP_Sistema_Integrado_de_Control.xlsx" TargetMode="External"/><Relationship Id="rId2" Type="http://schemas.openxmlformats.org/officeDocument/2006/relationships/hyperlink" Target="../pre/UGP_Sistema_Integrado_de_Control.xlsx" TargetMode="External"/><Relationship Id="rId3" Type="http://schemas.openxmlformats.org/officeDocument/2006/relationships/hyperlink" Target="../pre/UGP_Sistema_Integrado_de_Control.xlsx" TargetMode="External"/><Relationship Id="rId4" Type="http://schemas.openxmlformats.org/officeDocument/2006/relationships/hyperlink" Target="../pre/UGP_Sistema_Integrado_de_Control.xlsx" TargetMode="External"/><Relationship Id="rId5" Type="http://schemas.openxmlformats.org/officeDocument/2006/relationships/hyperlink" Target="../pre/UGP_Sistema_Integrado_de_Control.xlsx" TargetMode="External"/><Relationship Id="rId6" Type="http://schemas.openxmlformats.org/officeDocument/2006/relationships/hyperlink" Target="../pre/UGP_Sistema_Integrado_de_Control.xlsx" TargetMode="External"/><Relationship Id="rId7" Type="http://schemas.openxmlformats.org/officeDocument/2006/relationships/hyperlink" Target="../pre/UGP_Sistema_Integrado_de_Control.xlsx" TargetMode="External"/><Relationship Id="rId8" Type="http://schemas.openxmlformats.org/officeDocument/2006/relationships/hyperlink" Target="../pre/UGP_Sistema_Integrado_de_Control.xlsx" TargetMode="External"/><Relationship Id="rId9" Type="http://schemas.openxmlformats.org/officeDocument/2006/relationships/hyperlink" Target="../pre/UGP_Sistema_Integrado_de_Control.xlsx" TargetMode="External"/><Relationship Id="rId10" Type="http://schemas.openxmlformats.org/officeDocument/2006/relationships/hyperlink" Target="../pre/UGP_Sistema_Integrado_de_Control.xlsx" TargetMode="External"/><Relationship Id="rId11" Type="http://schemas.openxmlformats.org/officeDocument/2006/relationships/hyperlink" Target="../pre/UGP_Sistema_Integrado_de_Control.xlsx" TargetMode="External"/><Relationship Id="rId12" Type="http://schemas.openxmlformats.org/officeDocument/2006/relationships/hyperlink" Target="../pre/UGP_Sistema_Integrado_de_Control.xlsx" TargetMode="External"/><Relationship Id="rId13" Type="http://schemas.openxmlformats.org/officeDocument/2006/relationships/hyperlink" Target="../pre/UGP_Sistema_Integrado_de_Control.xlsx" TargetMode="External"/><Relationship Id="rId14" Type="http://schemas.openxmlformats.org/officeDocument/2006/relationships/hyperlink" Target="../pre/UGP_Sistema_Integrado_de_Control.xlsx" TargetMode="External"/><Relationship Id="rId15" Type="http://schemas.openxmlformats.org/officeDocument/2006/relationships/hyperlink" Target="../pre/UGP_Sistema_Integrado_de_Control.xlsx" TargetMode="External"/><Relationship Id="rId16" Type="http://schemas.openxmlformats.org/officeDocument/2006/relationships/hyperlink" Target="../pre/UGP_Sistema_Integrado_de_Control.xlsx" TargetMode="External"/><Relationship Id="rId17" Type="http://schemas.openxmlformats.org/officeDocument/2006/relationships/hyperlink" Target="../pre/UGP_Sistema_Integrado_de_Control.xlsx" TargetMode="External"/><Relationship Id="rId18" Type="http://schemas.openxmlformats.org/officeDocument/2006/relationships/hyperlink" Target="../pre/UGP_Sistema_Integrado_de_Control.xlsx" TargetMode="External"/><Relationship Id="rId19" Type="http://schemas.openxmlformats.org/officeDocument/2006/relationships/hyperlink" Target="../pre/UGP_Sistema_Integrado_de_Control.xlsx" TargetMode="External"/><Relationship Id="rId20" Type="http://schemas.openxmlformats.org/officeDocument/2006/relationships/hyperlink" Target="../pre/UGP_Sistema_Integrado_de_Control.xlsx" TargetMode="External"/><Relationship Id="rId21" Type="http://schemas.openxmlformats.org/officeDocument/2006/relationships/hyperlink" Target="../pre/UGP_Sistema_Integrado_de_Control.xlsx" TargetMode="External"/><Relationship Id="rId22" Type="http://schemas.openxmlformats.org/officeDocument/2006/relationships/hyperlink" Target="../pre/UGP_Sistema_Integrado_de_Control.xlsx" TargetMode="External"/><Relationship Id="rId23" Type="http://schemas.openxmlformats.org/officeDocument/2006/relationships/hyperlink" Target="../pre/UGP_Sistema_Integrado_de_Control.xlsx" TargetMode="External"/><Relationship Id="rId24" Type="http://schemas.openxmlformats.org/officeDocument/2006/relationships/hyperlink" Target="../pre/UGP_Sistema_Integrado_de_Contro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72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</row>
    <row r="5" customFormat="false" ht="63.75" hidden="false" customHeight="true" outlineLevel="0" collapsed="false">
      <c r="A5" s="4" t="s">
        <v>3</v>
      </c>
      <c r="B5" s="4"/>
      <c r="C5" s="4"/>
      <c r="D5" s="4"/>
      <c r="E5" s="4"/>
    </row>
    <row r="6" customFormat="false" ht="48" hidden="false" customHeight="true" outlineLevel="0" collapsed="false">
      <c r="A6" s="5" t="s">
        <v>4</v>
      </c>
      <c r="B6" s="5"/>
      <c r="C6" s="5"/>
      <c r="D6" s="5"/>
      <c r="E6" s="5"/>
    </row>
    <row r="8" customFormat="false" ht="18" hidden="false" customHeight="true" outlineLevel="0" collapsed="false">
      <c r="A8" s="3" t="s">
        <v>5</v>
      </c>
      <c r="B8" s="3"/>
      <c r="C8" s="3"/>
      <c r="D8" s="3"/>
      <c r="E8" s="3"/>
    </row>
    <row r="9" customFormat="false" ht="15" hidden="false" customHeight="false" outlineLevel="0" collapsed="false">
      <c r="A9" s="6" t="s">
        <v>6</v>
      </c>
      <c r="B9" s="6"/>
      <c r="C9" s="6"/>
    </row>
    <row r="10" customFormat="false" ht="15" hidden="false" customHeight="false" outlineLevel="0" collapsed="false">
      <c r="A10" s="7" t="s">
        <v>7</v>
      </c>
      <c r="B10" s="7"/>
      <c r="C10" s="7"/>
    </row>
    <row r="11" customFormat="false" ht="15" hidden="false" customHeight="false" outlineLevel="0" collapsed="false">
      <c r="A11" s="8" t="s">
        <v>8</v>
      </c>
      <c r="B11" s="8"/>
      <c r="C11" s="8"/>
    </row>
    <row r="13" customFormat="false" ht="18" hidden="false" customHeight="true" outlineLevel="0" collapsed="false">
      <c r="A13" s="3" t="s">
        <v>9</v>
      </c>
      <c r="B13" s="3"/>
      <c r="C13" s="3"/>
      <c r="D13" s="3"/>
      <c r="E13" s="3"/>
    </row>
    <row r="14" customFormat="false" ht="18" hidden="false" customHeight="true" outlineLevel="0" collapsed="false">
      <c r="A14" s="4" t="s">
        <v>10</v>
      </c>
      <c r="B14" s="4"/>
      <c r="C14" s="4"/>
      <c r="D14" s="4"/>
      <c r="E14" s="4"/>
    </row>
    <row r="15" customFormat="false" ht="18" hidden="false" customHeight="true" outlineLevel="0" collapsed="false">
      <c r="A15" s="4" t="s">
        <v>11</v>
      </c>
      <c r="B15" s="4"/>
      <c r="C15" s="4"/>
      <c r="D15" s="4"/>
      <c r="E15" s="4"/>
    </row>
    <row r="16" customFormat="false" ht="18" hidden="false" customHeight="true" outlineLevel="0" collapsed="false">
      <c r="A16" s="4" t="s">
        <v>12</v>
      </c>
      <c r="B16" s="4"/>
      <c r="C16" s="4"/>
      <c r="D16" s="4"/>
      <c r="E16" s="4"/>
    </row>
    <row r="17" customFormat="false" ht="18" hidden="false" customHeight="true" outlineLevel="0" collapsed="false">
      <c r="A17" s="4" t="s">
        <v>13</v>
      </c>
      <c r="B17" s="4"/>
      <c r="C17" s="4"/>
      <c r="D17" s="4"/>
      <c r="E17" s="4"/>
    </row>
    <row r="18" customFormat="false" ht="18" hidden="false" customHeight="true" outlineLevel="0" collapsed="false">
      <c r="A18" s="4" t="s">
        <v>14</v>
      </c>
      <c r="B18" s="4"/>
      <c r="C18" s="4"/>
      <c r="D18" s="4"/>
      <c r="E18" s="4"/>
    </row>
    <row r="19" customFormat="false" ht="18" hidden="false" customHeight="true" outlineLevel="0" collapsed="false">
      <c r="A19" s="4" t="s">
        <v>15</v>
      </c>
      <c r="B19" s="4"/>
      <c r="C19" s="4"/>
      <c r="D19" s="4"/>
      <c r="E19" s="4"/>
    </row>
    <row r="21" customFormat="false" ht="18" hidden="false" customHeight="true" outlineLevel="0" collapsed="false">
      <c r="A21" s="3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9" t="s">
        <v>17</v>
      </c>
      <c r="B22" s="9" t="s">
        <v>18</v>
      </c>
      <c r="C22" s="9" t="s">
        <v>19</v>
      </c>
      <c r="D22" s="9" t="s">
        <v>20</v>
      </c>
      <c r="E22" s="9" t="s">
        <v>21</v>
      </c>
    </row>
    <row r="23" customFormat="false" ht="19.5" hidden="false" customHeight="true" outlineLevel="0" collapsed="false">
      <c r="A23" s="10" t="s">
        <v>22</v>
      </c>
      <c r="B23" s="11" t="s">
        <v>23</v>
      </c>
      <c r="C23" s="11" t="s">
        <v>24</v>
      </c>
      <c r="D23" s="11" t="s">
        <v>25</v>
      </c>
      <c r="E23" s="11" t="s">
        <v>26</v>
      </c>
    </row>
    <row r="24" customFormat="false" ht="31.5" hidden="false" customHeight="true" outlineLevel="0" collapsed="false">
      <c r="A24" s="10" t="s">
        <v>27</v>
      </c>
      <c r="B24" s="11" t="s">
        <v>23</v>
      </c>
      <c r="C24" s="11" t="s">
        <v>28</v>
      </c>
      <c r="D24" s="11" t="s">
        <v>29</v>
      </c>
      <c r="E24" s="11" t="s">
        <v>30</v>
      </c>
    </row>
    <row r="25" customFormat="false" ht="31.5" hidden="false" customHeight="true" outlineLevel="0" collapsed="false">
      <c r="A25" s="10" t="s">
        <v>31</v>
      </c>
      <c r="B25" s="11" t="s">
        <v>23</v>
      </c>
      <c r="C25" s="11" t="s">
        <v>32</v>
      </c>
      <c r="D25" s="11" t="s">
        <v>25</v>
      </c>
      <c r="E25" s="11" t="s">
        <v>33</v>
      </c>
    </row>
    <row r="26" customFormat="false" ht="31.5" hidden="false" customHeight="true" outlineLevel="0" collapsed="false">
      <c r="A26" s="10" t="s">
        <v>34</v>
      </c>
      <c r="B26" s="11" t="s">
        <v>35</v>
      </c>
      <c r="C26" s="11" t="s">
        <v>36</v>
      </c>
      <c r="D26" s="11" t="s">
        <v>25</v>
      </c>
      <c r="E26" s="11" t="s">
        <v>37</v>
      </c>
    </row>
    <row r="27" customFormat="false" ht="31.5" hidden="false" customHeight="true" outlineLevel="0" collapsed="false">
      <c r="A27" s="10" t="s">
        <v>38</v>
      </c>
      <c r="B27" s="11" t="s">
        <v>35</v>
      </c>
      <c r="C27" s="11" t="s">
        <v>39</v>
      </c>
      <c r="D27" s="11" t="s">
        <v>25</v>
      </c>
      <c r="E27" s="11" t="s">
        <v>26</v>
      </c>
    </row>
    <row r="28" customFormat="false" ht="31.5" hidden="false" customHeight="true" outlineLevel="0" collapsed="false">
      <c r="A28" s="10" t="s">
        <v>40</v>
      </c>
      <c r="B28" s="11" t="s">
        <v>35</v>
      </c>
      <c r="C28" s="11" t="s">
        <v>41</v>
      </c>
      <c r="D28" s="11" t="s">
        <v>25</v>
      </c>
      <c r="E28" s="11" t="s">
        <v>26</v>
      </c>
    </row>
    <row r="29" customFormat="false" ht="31.5" hidden="false" customHeight="true" outlineLevel="0" collapsed="false">
      <c r="A29" s="10" t="s">
        <v>42</v>
      </c>
      <c r="B29" s="11" t="s">
        <v>35</v>
      </c>
      <c r="C29" s="11" t="s">
        <v>43</v>
      </c>
      <c r="D29" s="11" t="s">
        <v>25</v>
      </c>
      <c r="E29" s="11" t="s">
        <v>26</v>
      </c>
    </row>
    <row r="30" customFormat="false" ht="31.5" hidden="false" customHeight="true" outlineLevel="0" collapsed="false">
      <c r="A30" s="10" t="s">
        <v>44</v>
      </c>
      <c r="B30" s="11" t="s">
        <v>35</v>
      </c>
      <c r="C30" s="11" t="s">
        <v>45</v>
      </c>
      <c r="D30" s="11" t="s">
        <v>46</v>
      </c>
      <c r="E30" s="11" t="s">
        <v>26</v>
      </c>
    </row>
    <row r="31" customFormat="false" ht="19.5" hidden="false" customHeight="true" outlineLevel="0" collapsed="false">
      <c r="A31" s="10" t="s">
        <v>47</v>
      </c>
      <c r="B31" s="11" t="s">
        <v>48</v>
      </c>
      <c r="C31" s="11" t="s">
        <v>49</v>
      </c>
      <c r="D31" s="11" t="s">
        <v>50</v>
      </c>
      <c r="E31" s="11" t="s">
        <v>51</v>
      </c>
    </row>
    <row r="32" customFormat="false" ht="19.5" hidden="false" customHeight="true" outlineLevel="0" collapsed="false">
      <c r="A32" s="10" t="s">
        <v>52</v>
      </c>
      <c r="B32" s="11" t="s">
        <v>48</v>
      </c>
      <c r="C32" s="11" t="s">
        <v>53</v>
      </c>
      <c r="D32" s="11" t="s">
        <v>50</v>
      </c>
      <c r="E32" s="11" t="s">
        <v>54</v>
      </c>
    </row>
    <row r="33" customFormat="false" ht="31.5" hidden="false" customHeight="true" outlineLevel="0" collapsed="false">
      <c r="A33" s="10" t="s">
        <v>55</v>
      </c>
      <c r="B33" s="11" t="s">
        <v>48</v>
      </c>
      <c r="C33" s="11" t="s">
        <v>56</v>
      </c>
      <c r="D33" s="11" t="s">
        <v>50</v>
      </c>
      <c r="E33" s="11" t="s">
        <v>57</v>
      </c>
    </row>
    <row r="34" customFormat="false" ht="19.5" hidden="false" customHeight="true" outlineLevel="0" collapsed="false">
      <c r="A34" s="10" t="s">
        <v>58</v>
      </c>
      <c r="B34" s="11" t="s">
        <v>48</v>
      </c>
      <c r="C34" s="11" t="s">
        <v>59</v>
      </c>
      <c r="D34" s="11" t="s">
        <v>50</v>
      </c>
      <c r="E34" s="11" t="s">
        <v>51</v>
      </c>
    </row>
    <row r="35" customFormat="false" ht="19.5" hidden="false" customHeight="true" outlineLevel="0" collapsed="false">
      <c r="A35" s="10" t="s">
        <v>60</v>
      </c>
      <c r="B35" s="11" t="s">
        <v>48</v>
      </c>
      <c r="C35" s="11" t="s">
        <v>61</v>
      </c>
      <c r="D35" s="11" t="s">
        <v>62</v>
      </c>
      <c r="E35" s="11" t="s">
        <v>63</v>
      </c>
    </row>
    <row r="36" customFormat="false" ht="19.5" hidden="false" customHeight="true" outlineLevel="0" collapsed="false">
      <c r="A36" s="10" t="s">
        <v>64</v>
      </c>
      <c r="B36" s="11" t="s">
        <v>48</v>
      </c>
      <c r="C36" s="11" t="s">
        <v>65</v>
      </c>
      <c r="D36" s="11" t="s">
        <v>62</v>
      </c>
      <c r="E36" s="11" t="s">
        <v>26</v>
      </c>
    </row>
    <row r="37" customFormat="false" ht="19.5" hidden="false" customHeight="true" outlineLevel="0" collapsed="false">
      <c r="A37" s="10" t="s">
        <v>66</v>
      </c>
      <c r="B37" s="11" t="s">
        <v>48</v>
      </c>
      <c r="C37" s="11" t="s">
        <v>67</v>
      </c>
      <c r="D37" s="11" t="s">
        <v>50</v>
      </c>
      <c r="E37" s="11" t="s">
        <v>26</v>
      </c>
    </row>
    <row r="38" customFormat="false" ht="31.5" hidden="false" customHeight="true" outlineLevel="0" collapsed="false">
      <c r="A38" s="10" t="s">
        <v>68</v>
      </c>
      <c r="B38" s="11" t="s">
        <v>69</v>
      </c>
      <c r="C38" s="11" t="s">
        <v>70</v>
      </c>
      <c r="D38" s="11" t="s">
        <v>29</v>
      </c>
      <c r="E38" s="11" t="s">
        <v>26</v>
      </c>
    </row>
    <row r="39" customFormat="false" ht="19.5" hidden="false" customHeight="true" outlineLevel="0" collapsed="false">
      <c r="A39" s="10" t="s">
        <v>71</v>
      </c>
      <c r="B39" s="11" t="s">
        <v>72</v>
      </c>
      <c r="C39" s="11" t="s">
        <v>73</v>
      </c>
      <c r="D39" s="11" t="s">
        <v>29</v>
      </c>
      <c r="E39" s="11" t="s">
        <v>74</v>
      </c>
    </row>
    <row r="40" customFormat="false" ht="19.5" hidden="false" customHeight="true" outlineLevel="0" collapsed="false">
      <c r="A40" s="10" t="s">
        <v>75</v>
      </c>
      <c r="B40" s="11" t="s">
        <v>72</v>
      </c>
      <c r="C40" s="11" t="s">
        <v>76</v>
      </c>
      <c r="D40" s="11" t="s">
        <v>29</v>
      </c>
      <c r="E40" s="11" t="s">
        <v>74</v>
      </c>
    </row>
    <row r="41" customFormat="false" ht="19.5" hidden="false" customHeight="true" outlineLevel="0" collapsed="false">
      <c r="A41" s="10" t="s">
        <v>77</v>
      </c>
      <c r="B41" s="11" t="s">
        <v>72</v>
      </c>
      <c r="C41" s="11" t="s">
        <v>78</v>
      </c>
      <c r="D41" s="11" t="s">
        <v>25</v>
      </c>
      <c r="E41" s="11" t="s">
        <v>79</v>
      </c>
    </row>
    <row r="42" customFormat="false" ht="19.5" hidden="false" customHeight="true" outlineLevel="0" collapsed="false">
      <c r="A42" s="10" t="s">
        <v>80</v>
      </c>
      <c r="B42" s="11" t="s">
        <v>72</v>
      </c>
      <c r="C42" s="11" t="s">
        <v>81</v>
      </c>
      <c r="D42" s="11" t="s">
        <v>62</v>
      </c>
      <c r="E42" s="11" t="s">
        <v>54</v>
      </c>
    </row>
    <row r="43" customFormat="false" ht="19.5" hidden="false" customHeight="true" outlineLevel="0" collapsed="false">
      <c r="A43" s="10" t="s">
        <v>82</v>
      </c>
      <c r="B43" s="11" t="s">
        <v>72</v>
      </c>
      <c r="C43" s="11" t="s">
        <v>83</v>
      </c>
      <c r="D43" s="11" t="s">
        <v>46</v>
      </c>
      <c r="E43" s="11" t="s">
        <v>51</v>
      </c>
    </row>
    <row r="44" customFormat="false" ht="19.5" hidden="false" customHeight="true" outlineLevel="0" collapsed="false">
      <c r="A44" s="10" t="s">
        <v>84</v>
      </c>
      <c r="B44" s="11" t="s">
        <v>72</v>
      </c>
      <c r="C44" s="11" t="s">
        <v>85</v>
      </c>
      <c r="D44" s="11" t="s">
        <v>29</v>
      </c>
      <c r="E44" s="11" t="s">
        <v>26</v>
      </c>
    </row>
    <row r="45" customFormat="false" ht="19.5" hidden="false" customHeight="true" outlineLevel="0" collapsed="false">
      <c r="A45" s="10" t="s">
        <v>86</v>
      </c>
      <c r="B45" s="11" t="s">
        <v>72</v>
      </c>
      <c r="C45" s="11" t="s">
        <v>87</v>
      </c>
      <c r="D45" s="11" t="s">
        <v>25</v>
      </c>
      <c r="E45" s="11" t="s">
        <v>26</v>
      </c>
    </row>
    <row r="46" customFormat="false" ht="19.5" hidden="false" customHeight="true" outlineLevel="0" collapsed="false">
      <c r="A46" s="10" t="s">
        <v>88</v>
      </c>
      <c r="B46" s="11" t="s">
        <v>23</v>
      </c>
      <c r="C46" s="11" t="s">
        <v>89</v>
      </c>
      <c r="D46" s="11" t="s">
        <v>25</v>
      </c>
      <c r="E46" s="11" t="s">
        <v>74</v>
      </c>
    </row>
  </sheetData>
  <mergeCells count="15">
    <mergeCell ref="A4:E4"/>
    <mergeCell ref="A5:E5"/>
    <mergeCell ref="A6:E6"/>
    <mergeCell ref="A8:E8"/>
    <mergeCell ref="A9:C9"/>
    <mergeCell ref="A10:C10"/>
    <mergeCell ref="A11:C11"/>
    <mergeCell ref="A13:E13"/>
    <mergeCell ref="A14:E14"/>
    <mergeCell ref="A15:E15"/>
    <mergeCell ref="A16:E16"/>
    <mergeCell ref="A17:E17"/>
    <mergeCell ref="A18:E18"/>
    <mergeCell ref="A19:E19"/>
    <mergeCell ref="A21:E21"/>
  </mergeCells>
  <hyperlinks>
    <hyperlink ref="A23" r:id="rId1" location="'Tablero'!A1" display="Tablero"/>
    <hyperlink ref="A24" r:id="rId2" location="'Parametros'!A1" display="Parametros"/>
    <hyperlink ref="A25" r:id="rId3" location="'Controles'!A1" display="Controles"/>
    <hyperlink ref="A26" r:id="rId4" location="'P1_Resultados'!A1" display="P1_Resultados"/>
    <hyperlink ref="A27" r:id="rId5" location="'P1_POA'!A1" display="P1_POA"/>
    <hyperlink ref="A28" r:id="rId6" location="'P1_Avance_FF'!A1" display="P1_Avance_FF"/>
    <hyperlink ref="A29" r:id="rId7" location="'P1_Riesgos'!A1" display="P1_Riesgos"/>
    <hyperlink ref="A30" r:id="rId8" location="'P2_Focalizacion'!A1" display="P2_Focalizacion"/>
    <hyperlink ref="A31" r:id="rId9" location="'F1_Presupuesto_PEP'!A1" display="F1_Presupuesto_PEP"/>
    <hyperlink ref="A32" r:id="rId10" location="'F2_Ejecucion'!A1" display="F2_Ejecucion"/>
    <hyperlink ref="A33" r:id="rId11" location="'F3_Desembolsos'!A1" display="F3_Desembolsos"/>
    <hyperlink ref="A34" r:id="rId12" location="'F3_Plan_Financiero'!A1" display="F3_Plan_Financiero"/>
    <hyperlink ref="A35" r:id="rId13" location="'F4_Plan_Adquisiciones'!A1" display="F4_Plan_Adquisiciones"/>
    <hyperlink ref="A36" r:id="rId14" location="'F5_Contratos'!A1" display="F5_Contratos"/>
    <hyperlink ref="A37" r:id="rId15" location="'F6_Auditoria'!A1" display="F6_Auditoria"/>
    <hyperlink ref="A38" r:id="rId16" location="'N1_Cumplimiento'!A1" display="N1_Cumplimiento"/>
    <hyperlink ref="A39" r:id="rId17" location="'A1_Equipo'!A1" display="A1_Equipo"/>
    <hyperlink ref="A40" r:id="rId18" location="'A1_RACI'!A1" display="A1_RACI"/>
    <hyperlink ref="A41" r:id="rId19" location="'A2_Misiones_BID'!A1" display="A2_Misiones_BID"/>
    <hyperlink ref="A42" r:id="rId20" location="'A3_No_Objeciones'!A1" display="A3_No_Objeciones"/>
    <hyperlink ref="A43" r:id="rId21" location="'A4_Interesados'!A1" display="A4_Interesados"/>
    <hyperlink ref="A44" r:id="rId22" location="'A5_Calendario_Informes'!A1" display="A5_Calendario_Informes"/>
    <hyperlink ref="A45" r:id="rId23" location="'A6_Informe_Mensual'!A1" display="A6_Informe_Mensual"/>
    <hyperlink ref="A46" r:id="rId24" location="'Listas'!A1" display="List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90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12" t="s">
        <v>91</v>
      </c>
      <c r="B3" s="13" t="n">
        <f aca="false">Fecha_Corte</f>
        <v>46568</v>
      </c>
      <c r="C3" s="12" t="str">
        <f aca="false">Estado_Controles</f>
        <v>TODOS LOS CONTROLES OK</v>
      </c>
    </row>
    <row r="5" customFormat="false" ht="24" hidden="false" customHeight="true" outlineLevel="0" collapsed="false">
      <c r="A5" s="14" t="s">
        <v>92</v>
      </c>
      <c r="B5" s="14" t="s">
        <v>93</v>
      </c>
      <c r="C5" s="14" t="s">
        <v>94</v>
      </c>
      <c r="D5" s="14" t="s">
        <v>95</v>
      </c>
    </row>
    <row r="6" customFormat="false" ht="15" hidden="false" customHeight="false" outlineLevel="0" collapsed="false">
      <c r="A6" s="15" t="s">
        <v>96</v>
      </c>
      <c r="B6" s="16" t="n">
        <f aca="false">Total_Programa</f>
        <v>104000000</v>
      </c>
      <c r="C6" s="16"/>
      <c r="D6" s="17"/>
    </row>
    <row r="7" customFormat="false" ht="15" hidden="false" customHeight="false" outlineLevel="0" collapsed="false">
      <c r="A7" s="15" t="s">
        <v>97</v>
      </c>
      <c r="B7" s="16" t="n">
        <f aca="false">F1_Presupuesto_PEP!N10</f>
        <v>2728350</v>
      </c>
      <c r="C7" s="16"/>
      <c r="D7" s="17"/>
    </row>
    <row r="8" customFormat="false" ht="15" hidden="false" customHeight="false" outlineLevel="0" collapsed="false">
      <c r="A8" s="15" t="s">
        <v>98</v>
      </c>
      <c r="B8" s="18" t="n">
        <f aca="false">F1_Presupuesto_PEP!O10</f>
        <v>0.0262341346153846</v>
      </c>
      <c r="C8" s="18"/>
      <c r="D8" s="17"/>
    </row>
    <row r="9" customFormat="false" ht="15" hidden="false" customHeight="false" outlineLevel="0" collapsed="false">
      <c r="A9" s="15" t="s">
        <v>99</v>
      </c>
      <c r="B9" s="18" t="n">
        <f aca="false">P1_Avance_FF!F10</f>
        <v>0.447923076923077</v>
      </c>
      <c r="C9" s="18" t="n">
        <f aca="false">P1_Avance_FF!G10</f>
        <v>0.525671463769721</v>
      </c>
      <c r="D9" s="17" t="str">
        <f aca="false">IF(B9/C9&gt;=Umbral_Verde,"Verde",IF(B9/C9&gt;=Umbral_Amarillo,"Amarillo","Rojo"))</f>
        <v>Amarillo</v>
      </c>
    </row>
    <row r="10" customFormat="false" ht="15" hidden="false" customHeight="false" outlineLevel="0" collapsed="false">
      <c r="A10" s="15" t="s">
        <v>100</v>
      </c>
      <c r="B10" s="18" t="n">
        <f aca="false">P1_Avance_FF!E10</f>
        <v>0.419746153846154</v>
      </c>
      <c r="C10" s="18" t="n">
        <f aca="false">P1_Avance_FF!G10</f>
        <v>0.525671463769721</v>
      </c>
      <c r="D10" s="17"/>
    </row>
    <row r="11" customFormat="false" ht="15" hidden="false" customHeight="false" outlineLevel="0" collapsed="false">
      <c r="A11" s="15" t="s">
        <v>101</v>
      </c>
      <c r="B11" s="19" t="n">
        <f aca="false">P1_Avance_FF!J10</f>
        <v>0.852096999351855</v>
      </c>
      <c r="C11" s="19" t="n">
        <v>1</v>
      </c>
      <c r="D11" s="17" t="str">
        <f aca="false">IF(B11&gt;=EVM_Verde,"Verde",IF(B11&gt;=EVM_Amarillo,"Amarillo","Rojo"))</f>
        <v>Amarillo</v>
      </c>
    </row>
    <row r="12" customFormat="false" ht="15" hidden="false" customHeight="false" outlineLevel="0" collapsed="false">
      <c r="A12" s="15" t="s">
        <v>102</v>
      </c>
      <c r="B12" s="19" t="n">
        <f aca="false">P1_Avance_FF!K10</f>
        <v>1.06712848424872</v>
      </c>
      <c r="C12" s="19" t="n">
        <v>1</v>
      </c>
      <c r="D12" s="17" t="str">
        <f aca="false">IF(B12&gt;=EVM_Verde,"Verde",IF(B12&gt;=EVM_Amarillo,"Amarillo","Rojo"))</f>
        <v>Verde</v>
      </c>
    </row>
    <row r="13" customFormat="false" ht="15" hidden="false" customHeight="false" outlineLevel="0" collapsed="false">
      <c r="A13" s="15" t="s">
        <v>103</v>
      </c>
      <c r="B13" s="16" t="n">
        <f aca="false">F3_Desembolsos!L13</f>
        <v>2996450</v>
      </c>
      <c r="C13" s="16"/>
      <c r="D13" s="17"/>
    </row>
    <row r="14" customFormat="false" ht="15" hidden="false" customHeight="false" outlineLevel="0" collapsed="false">
      <c r="A14" s="15" t="s">
        <v>104</v>
      </c>
      <c r="B14" s="18" t="n">
        <f aca="false">F3_Desembolsos!L8</f>
        <v>0.698229166666667</v>
      </c>
      <c r="C14" s="18" t="n">
        <f aca="false">Pct_Justif_Min</f>
        <v>0.8</v>
      </c>
      <c r="D14" s="17" t="str">
        <f aca="false">IF(B14&gt;=C14,"Verde",IF(B14&gt;=C14-0.1,"Amarillo","Rojo"))</f>
        <v>Rojo</v>
      </c>
    </row>
    <row r="15" customFormat="false" ht="15" hidden="false" customHeight="false" outlineLevel="0" collapsed="false">
      <c r="A15" s="15" t="s">
        <v>105</v>
      </c>
      <c r="B15" s="20" t="n">
        <f aca="false">COUNTIF(F4_Plan_Adquisiciones!$P$5:$P$200,"Atrasado")</f>
        <v>1</v>
      </c>
      <c r="C15" s="20" t="n">
        <v>0</v>
      </c>
      <c r="D15" s="17" t="str">
        <f aca="false">IF(B15=0,"Verde",IF(B15&lt;=2,"Amarillo","Rojo"))</f>
        <v>Amarillo</v>
      </c>
    </row>
    <row r="16" customFormat="false" ht="15" hidden="false" customHeight="false" outlineLevel="0" collapsed="false">
      <c r="A16" s="15" t="s">
        <v>106</v>
      </c>
      <c r="B16" s="20" t="n">
        <f aca="false">COUNTIF(A3_No_Objeciones!$I$5:$I$200,"Pendiente fuera de referencia")</f>
        <v>1</v>
      </c>
      <c r="C16" s="20" t="n">
        <v>0</v>
      </c>
      <c r="D16" s="17" t="str">
        <f aca="false">IF(B16=0,"Verde",IF(B16&lt;=2,"Amarillo","Rojo"))</f>
        <v>Amarillo</v>
      </c>
    </row>
    <row r="17" customFormat="false" ht="15" hidden="false" customHeight="false" outlineLevel="0" collapsed="false">
      <c r="A17" s="15" t="s">
        <v>107</v>
      </c>
      <c r="B17" s="20" t="n">
        <f aca="false">COUNTIFS(A2_Misiones_BID!$E$14:$E$100,"&lt;"&amp;Fecha_Corte,A2_Misiones_BID!$G$14:$G$100,"&lt;&gt;Cumplido",A2_Misiones_BID!$A$14:$A$100,"CM-*")</f>
        <v>2</v>
      </c>
      <c r="C17" s="20" t="n">
        <v>0</v>
      </c>
      <c r="D17" s="17" t="str">
        <f aca="false">IF(B17=0,"Verde",IF(B17&lt;=2,"Amarillo","Rojo"))</f>
        <v>Amarillo</v>
      </c>
    </row>
    <row r="18" customFormat="false" ht="15" hidden="false" customHeight="false" outlineLevel="0" collapsed="false">
      <c r="A18" s="15" t="s">
        <v>108</v>
      </c>
      <c r="B18" s="20" t="n">
        <f aca="false">COUNTIFS(P1_Riesgos!$H$5:$H$200,"Alto",P1_Riesgos!$M$5:$M$200,"&lt;&gt;Cerrado")</f>
        <v>3</v>
      </c>
      <c r="C18" s="20" t="n">
        <v>0</v>
      </c>
      <c r="D18" s="17" t="str">
        <f aca="false">IF(B18=0,"Verde",IF(B18&lt;=2,"Amarillo","Rojo"))</f>
        <v>Rojo</v>
      </c>
    </row>
    <row r="19" customFormat="false" ht="15" hidden="false" customHeight="false" outlineLevel="0" collapsed="false">
      <c r="A19" s="15" t="s">
        <v>109</v>
      </c>
      <c r="B19" s="20" t="n">
        <f aca="false">N1_Cumplimiento!O8</f>
        <v>1</v>
      </c>
      <c r="C19" s="20" t="n">
        <v>0</v>
      </c>
      <c r="D19" s="17" t="str">
        <f aca="false">IF(B19=0,"Verde",IF(B19&lt;=2,"Amarillo","Rojo"))</f>
        <v>Amarillo</v>
      </c>
    </row>
    <row r="20" customFormat="false" ht="15" hidden="false" customHeight="false" outlineLevel="0" collapsed="false">
      <c r="A20" s="15" t="s">
        <v>110</v>
      </c>
      <c r="B20" s="18" t="n">
        <f aca="false">N1_Cumplimiento!O10</f>
        <v>0.888888888888889</v>
      </c>
      <c r="C20" s="18" t="n">
        <v>1</v>
      </c>
      <c r="D20" s="17" t="str">
        <f aca="false">IF(B20&gt;=Umbral_Verde,"Verde",IF(B20&gt;=Umbral_Amarillo,"Amarillo","Rojo"))</f>
        <v>Amarillo</v>
      </c>
    </row>
    <row r="21" customFormat="false" ht="15" hidden="false" customHeight="false" outlineLevel="0" collapsed="false">
      <c r="A21" s="15" t="s">
        <v>111</v>
      </c>
      <c r="B21" s="18" t="n">
        <f aca="false">P2_Focalizacion!K19</f>
        <v>0.396666666666667</v>
      </c>
      <c r="C21" s="18" t="n">
        <f aca="false">Frac_Anio</f>
        <v>0.492813141683778</v>
      </c>
      <c r="D21" s="17" t="str">
        <f aca="false">IF(B21/C21&gt;=Umbral_Verde,"Verde",IF(B21/C21&gt;=Umbral_Amarillo,"Amarillo","Rojo"))</f>
        <v>Amarillo</v>
      </c>
    </row>
    <row r="24" customFormat="false" ht="15" hidden="false" customHeight="false" outlineLevel="0" collapsed="false">
      <c r="A24" s="21" t="s">
        <v>112</v>
      </c>
    </row>
    <row r="25" customFormat="false" ht="15" hidden="false" customHeight="false" outlineLevel="0" collapsed="false">
      <c r="A25" s="12" t="s">
        <v>113</v>
      </c>
      <c r="B25" s="22" t="n">
        <v>1</v>
      </c>
      <c r="C25" s="22" t="n">
        <v>2</v>
      </c>
      <c r="D25" s="22" t="n">
        <v>3</v>
      </c>
      <c r="E25" s="22" t="n">
        <v>4</v>
      </c>
      <c r="F25" s="22" t="n">
        <v>5</v>
      </c>
    </row>
    <row r="26" customFormat="false" ht="15" hidden="false" customHeight="false" outlineLevel="0" collapsed="false">
      <c r="A26" s="23" t="n">
        <v>5</v>
      </c>
      <c r="B26" s="24" t="n">
        <f aca="false">COUNTIFS(P1_Riesgos!$E$5:$E$200,B$25,P1_Riesgos!$F$5:$F$200,$A26,P1_Riesgos!$M$5:$M$200,"&lt;&gt;Cerrado")</f>
        <v>0</v>
      </c>
      <c r="C26" s="24" t="n">
        <f aca="false">COUNTIFS(P1_Riesgos!$E$5:$E$200,C$25,P1_Riesgos!$F$5:$F$200,$A26,P1_Riesgos!$M$5:$M$200,"&lt;&gt;Cerrado")</f>
        <v>1</v>
      </c>
      <c r="D26" s="24" t="n">
        <f aca="false">COUNTIFS(P1_Riesgos!$E$5:$E$200,D$25,P1_Riesgos!$F$5:$F$200,$A26,P1_Riesgos!$M$5:$M$200,"&lt;&gt;Cerrado")</f>
        <v>1</v>
      </c>
      <c r="E26" s="24" t="n">
        <f aca="false">COUNTIFS(P1_Riesgos!$E$5:$E$200,E$25,P1_Riesgos!$F$5:$F$200,$A26,P1_Riesgos!$M$5:$M$200,"&lt;&gt;Cerrado")</f>
        <v>0</v>
      </c>
      <c r="F26" s="24" t="n">
        <f aca="false">COUNTIFS(P1_Riesgos!$E$5:$E$200,F$25,P1_Riesgos!$F$5:$F$200,$A26,P1_Riesgos!$M$5:$M$200,"&lt;&gt;Cerrado")</f>
        <v>0</v>
      </c>
    </row>
    <row r="27" customFormat="false" ht="15" hidden="false" customHeight="false" outlineLevel="0" collapsed="false">
      <c r="A27" s="23" t="n">
        <v>4</v>
      </c>
      <c r="B27" s="24" t="n">
        <f aca="false">COUNTIFS(P1_Riesgos!$E$5:$E$200,B$25,P1_Riesgos!$F$5:$F$200,$A27,P1_Riesgos!$M$5:$M$200,"&lt;&gt;Cerrado")</f>
        <v>1</v>
      </c>
      <c r="C27" s="24" t="n">
        <f aca="false">COUNTIFS(P1_Riesgos!$E$5:$E$200,C$25,P1_Riesgos!$F$5:$F$200,$A27,P1_Riesgos!$M$5:$M$200,"&lt;&gt;Cerrado")</f>
        <v>2</v>
      </c>
      <c r="D27" s="24" t="n">
        <f aca="false">COUNTIFS(P1_Riesgos!$E$5:$E$200,D$25,P1_Riesgos!$F$5:$F$200,$A27,P1_Riesgos!$M$5:$M$200,"&lt;&gt;Cerrado")</f>
        <v>5</v>
      </c>
      <c r="E27" s="24" t="n">
        <f aca="false">COUNTIFS(P1_Riesgos!$E$5:$E$200,E$25,P1_Riesgos!$F$5:$F$200,$A27,P1_Riesgos!$M$5:$M$200,"&lt;&gt;Cerrado")</f>
        <v>2</v>
      </c>
      <c r="F27" s="24" t="n">
        <f aca="false">COUNTIFS(P1_Riesgos!$E$5:$E$200,F$25,P1_Riesgos!$F$5:$F$200,$A27,P1_Riesgos!$M$5:$M$200,"&lt;&gt;Cerrado")</f>
        <v>0</v>
      </c>
    </row>
    <row r="28" customFormat="false" ht="15" hidden="false" customHeight="false" outlineLevel="0" collapsed="false">
      <c r="A28" s="23" t="n">
        <v>3</v>
      </c>
      <c r="B28" s="24" t="n">
        <f aca="false">COUNTIFS(P1_Riesgos!$E$5:$E$200,B$25,P1_Riesgos!$F$5:$F$200,$A28,P1_Riesgos!$M$5:$M$200,"&lt;&gt;Cerrado")</f>
        <v>0</v>
      </c>
      <c r="C28" s="24" t="n">
        <f aca="false">COUNTIFS(P1_Riesgos!$E$5:$E$200,C$25,P1_Riesgos!$F$5:$F$200,$A28,P1_Riesgos!$M$5:$M$200,"&lt;&gt;Cerrado")</f>
        <v>0</v>
      </c>
      <c r="D28" s="24" t="n">
        <f aca="false">COUNTIFS(P1_Riesgos!$E$5:$E$200,D$25,P1_Riesgos!$F$5:$F$200,$A28,P1_Riesgos!$M$5:$M$200,"&lt;&gt;Cerrado")</f>
        <v>2</v>
      </c>
      <c r="E28" s="24" t="n">
        <f aca="false">COUNTIFS(P1_Riesgos!$E$5:$E$200,E$25,P1_Riesgos!$F$5:$F$200,$A28,P1_Riesgos!$M$5:$M$200,"&lt;&gt;Cerrado")</f>
        <v>1</v>
      </c>
      <c r="F28" s="24" t="n">
        <f aca="false">COUNTIFS(P1_Riesgos!$E$5:$E$200,F$25,P1_Riesgos!$F$5:$F$200,$A28,P1_Riesgos!$M$5:$M$200,"&lt;&gt;Cerrado")</f>
        <v>0</v>
      </c>
    </row>
    <row r="29" customFormat="false" ht="15" hidden="false" customHeight="false" outlineLevel="0" collapsed="false">
      <c r="A29" s="23" t="n">
        <v>2</v>
      </c>
      <c r="B29" s="24" t="n">
        <f aca="false">COUNTIFS(P1_Riesgos!$E$5:$E$200,B$25,P1_Riesgos!$F$5:$F$200,$A29,P1_Riesgos!$M$5:$M$200,"&lt;&gt;Cerrado")</f>
        <v>0</v>
      </c>
      <c r="C29" s="24" t="n">
        <f aca="false">COUNTIFS(P1_Riesgos!$E$5:$E$200,C$25,P1_Riesgos!$F$5:$F$200,$A29,P1_Riesgos!$M$5:$M$200,"&lt;&gt;Cerrado")</f>
        <v>0</v>
      </c>
      <c r="D29" s="24" t="n">
        <f aca="false">COUNTIFS(P1_Riesgos!$E$5:$E$200,D$25,P1_Riesgos!$F$5:$F$200,$A29,P1_Riesgos!$M$5:$M$200,"&lt;&gt;Cerrado")</f>
        <v>0</v>
      </c>
      <c r="E29" s="24" t="n">
        <f aca="false">COUNTIFS(P1_Riesgos!$E$5:$E$200,E$25,P1_Riesgos!$F$5:$F$200,$A29,P1_Riesgos!$M$5:$M$200,"&lt;&gt;Cerrado")</f>
        <v>0</v>
      </c>
      <c r="F29" s="24" t="n">
        <f aca="false">COUNTIFS(P1_Riesgos!$E$5:$E$200,F$25,P1_Riesgos!$F$5:$F$200,$A29,P1_Riesgos!$M$5:$M$200,"&lt;&gt;Cerrado")</f>
        <v>0</v>
      </c>
    </row>
    <row r="30" customFormat="false" ht="15" hidden="false" customHeight="false" outlineLevel="0" collapsed="false">
      <c r="A30" s="23" t="n">
        <v>1</v>
      </c>
      <c r="B30" s="24" t="n">
        <f aca="false">COUNTIFS(P1_Riesgos!$E$5:$E$200,B$25,P1_Riesgos!$F$5:$F$200,$A30,P1_Riesgos!$M$5:$M$200,"&lt;&gt;Cerrado")</f>
        <v>0</v>
      </c>
      <c r="C30" s="24" t="n">
        <f aca="false">COUNTIFS(P1_Riesgos!$E$5:$E$200,C$25,P1_Riesgos!$F$5:$F$200,$A30,P1_Riesgos!$M$5:$M$200,"&lt;&gt;Cerrado")</f>
        <v>0</v>
      </c>
      <c r="D30" s="24" t="n">
        <f aca="false">COUNTIFS(P1_Riesgos!$E$5:$E$200,D$25,P1_Riesgos!$F$5:$F$200,$A30,P1_Riesgos!$M$5:$M$200,"&lt;&gt;Cerrado")</f>
        <v>0</v>
      </c>
      <c r="E30" s="24" t="n">
        <f aca="false">COUNTIFS(P1_Riesgos!$E$5:$E$200,E$25,P1_Riesgos!$F$5:$F$200,$A30,P1_Riesgos!$M$5:$M$200,"&lt;&gt;Cerrado")</f>
        <v>0</v>
      </c>
      <c r="F30" s="24" t="n">
        <f aca="false">COUNTIFS(P1_Riesgos!$E$5:$E$200,F$25,P1_Riesgos!$F$5:$F$200,$A30,P1_Riesgos!$M$5:$M$200,"&lt;&gt;Cerrado")</f>
        <v>0</v>
      </c>
    </row>
  </sheetData>
  <conditionalFormatting sqref="D6:D30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"Amarillo"</formula>
    </cfRule>
    <cfRule type="cellIs" priority="4" operator="equal" aboveAverage="0" equalAverage="0" bottom="0" percent="0" rank="0" text="" dxfId="2">
      <formula>"Rojo"</formula>
    </cfRule>
  </conditionalFormatting>
  <conditionalFormatting sqref="B26:F30">
    <cfRule type="expression" priority="5" aboveAverage="0" equalAverage="0" bottom="0" percent="0" rank="0" text="" dxfId="2">
      <formula>$A26*B$25&gt;=Riesgo_Alto</formula>
    </cfRule>
    <cfRule type="expression" priority="6" aboveAverage="0" equalAverage="0" bottom="0" percent="0" rank="0" text="" dxfId="1">
      <formula>AND($A26*B$25&gt;=Riesgo_Medio,$A26*B$25&lt;Riesgo_Alto)</formula>
    </cfRule>
    <cfRule type="expression" priority="7" aboveAverage="0" equalAverage="0" bottom="0" percent="0" rank="0" text="" dxfId="0">
      <formula>$A26*B$25&lt;Riesgo_Medio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70"/>
  </cols>
  <sheetData>
    <row r="1" customFormat="false" ht="24" hidden="false" customHeight="true" outlineLevel="0" collapsed="false">
      <c r="A1" s="1" t="s">
        <v>114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115</v>
      </c>
    </row>
    <row r="4" customFormat="false" ht="25.5" hidden="false" customHeight="true" outlineLevel="0" collapsed="false">
      <c r="A4" s="14" t="s">
        <v>116</v>
      </c>
      <c r="B4" s="14" t="s">
        <v>117</v>
      </c>
      <c r="C4" s="14" t="s">
        <v>93</v>
      </c>
      <c r="D4" s="14" t="s">
        <v>118</v>
      </c>
      <c r="E4" s="14" t="s">
        <v>119</v>
      </c>
      <c r="F4" s="14" t="s">
        <v>120</v>
      </c>
    </row>
    <row r="5" customFormat="false" ht="39.55" hidden="false" customHeight="false" outlineLevel="0" collapsed="false">
      <c r="A5" s="15" t="s">
        <v>121</v>
      </c>
      <c r="B5" s="11" t="s">
        <v>121</v>
      </c>
      <c r="C5" s="26" t="s">
        <v>122</v>
      </c>
      <c r="D5" s="15"/>
      <c r="E5" s="15"/>
      <c r="F5" s="11" t="s">
        <v>123</v>
      </c>
    </row>
    <row r="6" customFormat="false" ht="15" hidden="false" customHeight="false" outlineLevel="0" collapsed="false">
      <c r="A6" s="15" t="s">
        <v>121</v>
      </c>
      <c r="B6" s="11" t="s">
        <v>124</v>
      </c>
      <c r="C6" s="26" t="s">
        <v>125</v>
      </c>
      <c r="D6" s="15"/>
      <c r="E6" s="15"/>
      <c r="F6" s="11" t="s">
        <v>126</v>
      </c>
    </row>
    <row r="7" customFormat="false" ht="15" hidden="false" customHeight="false" outlineLevel="0" collapsed="false">
      <c r="A7" s="15" t="s">
        <v>121</v>
      </c>
      <c r="B7" s="11" t="s">
        <v>127</v>
      </c>
      <c r="C7" s="26" t="s">
        <v>128</v>
      </c>
      <c r="D7" s="15"/>
      <c r="E7" s="15"/>
      <c r="F7" s="11" t="s">
        <v>129</v>
      </c>
    </row>
    <row r="8" customFormat="false" ht="15" hidden="false" customHeight="false" outlineLevel="0" collapsed="false">
      <c r="A8" s="15" t="s">
        <v>121</v>
      </c>
      <c r="B8" s="11" t="s">
        <v>130</v>
      </c>
      <c r="C8" s="26" t="s">
        <v>131</v>
      </c>
      <c r="D8" s="15"/>
      <c r="E8" s="15"/>
      <c r="F8" s="11" t="s">
        <v>132</v>
      </c>
    </row>
    <row r="9" customFormat="false" ht="15" hidden="false" customHeight="false" outlineLevel="0" collapsed="false">
      <c r="A9" s="15" t="s">
        <v>121</v>
      </c>
      <c r="B9" s="11" t="s">
        <v>133</v>
      </c>
      <c r="C9" s="26" t="s">
        <v>134</v>
      </c>
      <c r="D9" s="15"/>
      <c r="E9" s="15"/>
      <c r="F9" s="11" t="s">
        <v>135</v>
      </c>
    </row>
    <row r="10" customFormat="false" ht="15" hidden="false" customHeight="false" outlineLevel="0" collapsed="false">
      <c r="A10" s="15" t="s">
        <v>121</v>
      </c>
      <c r="B10" s="11" t="s">
        <v>136</v>
      </c>
      <c r="C10" s="26" t="s">
        <v>137</v>
      </c>
      <c r="D10" s="15"/>
      <c r="E10" s="15"/>
      <c r="F10" s="11" t="s">
        <v>138</v>
      </c>
    </row>
    <row r="11" customFormat="false" ht="15" hidden="false" customHeight="false" outlineLevel="0" collapsed="false">
      <c r="A11" s="15" t="s">
        <v>121</v>
      </c>
      <c r="B11" s="11" t="s">
        <v>139</v>
      </c>
      <c r="C11" s="27" t="n">
        <v>100000000</v>
      </c>
      <c r="D11" s="15" t="s">
        <v>140</v>
      </c>
      <c r="E11" s="15" t="s">
        <v>141</v>
      </c>
      <c r="F11" s="11" t="s">
        <v>135</v>
      </c>
    </row>
    <row r="12" customFormat="false" ht="15" hidden="false" customHeight="false" outlineLevel="0" collapsed="false">
      <c r="A12" s="15" t="s">
        <v>121</v>
      </c>
      <c r="B12" s="11" t="s">
        <v>142</v>
      </c>
      <c r="C12" s="27" t="n">
        <v>4000000</v>
      </c>
      <c r="D12" s="15" t="s">
        <v>140</v>
      </c>
      <c r="E12" s="15" t="s">
        <v>143</v>
      </c>
      <c r="F12" s="11" t="s">
        <v>135</v>
      </c>
    </row>
    <row r="13" customFormat="false" ht="15" hidden="false" customHeight="false" outlineLevel="0" collapsed="false">
      <c r="A13" s="15" t="s">
        <v>121</v>
      </c>
      <c r="B13" s="11" t="s">
        <v>144</v>
      </c>
      <c r="C13" s="28" t="n">
        <f aca="false">C11+C12</f>
        <v>104000000</v>
      </c>
      <c r="D13" s="15" t="s">
        <v>140</v>
      </c>
      <c r="E13" s="15" t="s">
        <v>145</v>
      </c>
      <c r="F13" s="11" t="s">
        <v>146</v>
      </c>
    </row>
    <row r="14" customFormat="false" ht="15" hidden="false" customHeight="false" outlineLevel="0" collapsed="false">
      <c r="A14" s="15" t="s">
        <v>121</v>
      </c>
      <c r="B14" s="11" t="s">
        <v>147</v>
      </c>
      <c r="C14" s="29" t="n">
        <v>5</v>
      </c>
      <c r="D14" s="15" t="s">
        <v>148</v>
      </c>
      <c r="E14" s="15" t="s">
        <v>149</v>
      </c>
      <c r="F14" s="11" t="s">
        <v>135</v>
      </c>
    </row>
    <row r="15" customFormat="false" ht="15" hidden="false" customHeight="false" outlineLevel="0" collapsed="false">
      <c r="A15" s="15" t="s">
        <v>150</v>
      </c>
      <c r="B15" s="11" t="s">
        <v>151</v>
      </c>
      <c r="C15" s="30" t="n">
        <v>46388</v>
      </c>
      <c r="D15" s="15" t="s">
        <v>152</v>
      </c>
      <c r="E15" s="15" t="s">
        <v>153</v>
      </c>
      <c r="F15" s="11" t="s">
        <v>154</v>
      </c>
    </row>
    <row r="16" customFormat="false" ht="15" hidden="false" customHeight="false" outlineLevel="0" collapsed="false">
      <c r="A16" s="15" t="s">
        <v>150</v>
      </c>
      <c r="B16" s="11" t="s">
        <v>155</v>
      </c>
      <c r="C16" s="30" t="n">
        <v>46568</v>
      </c>
      <c r="D16" s="15" t="s">
        <v>152</v>
      </c>
      <c r="E16" s="15" t="s">
        <v>156</v>
      </c>
      <c r="F16" s="11" t="s">
        <v>157</v>
      </c>
    </row>
    <row r="17" customFormat="false" ht="15" hidden="false" customHeight="false" outlineLevel="0" collapsed="false">
      <c r="A17" s="15" t="s">
        <v>150</v>
      </c>
      <c r="B17" s="11" t="s">
        <v>158</v>
      </c>
      <c r="C17" s="31" t="n">
        <f aca="false">INT((Fecha_Corte-Fecha_Inicio)/365.25)+1</f>
        <v>1</v>
      </c>
      <c r="D17" s="15" t="s">
        <v>159</v>
      </c>
      <c r="E17" s="15" t="s">
        <v>160</v>
      </c>
      <c r="F17" s="11" t="s">
        <v>146</v>
      </c>
    </row>
    <row r="18" customFormat="false" ht="15" hidden="false" customHeight="false" outlineLevel="0" collapsed="false">
      <c r="A18" s="15" t="s">
        <v>150</v>
      </c>
      <c r="B18" s="11" t="s">
        <v>161</v>
      </c>
      <c r="C18" s="32" t="n">
        <f aca="false">(Fecha_Corte-Fecha_Inicio)/365.25-(Anio_Programa-1)</f>
        <v>0.492813141683778</v>
      </c>
      <c r="D18" s="15" t="s">
        <v>162</v>
      </c>
      <c r="E18" s="15" t="s">
        <v>163</v>
      </c>
      <c r="F18" s="11" t="s">
        <v>146</v>
      </c>
    </row>
    <row r="19" customFormat="false" ht="26.85" hidden="false" customHeight="false" outlineLevel="0" collapsed="false">
      <c r="A19" s="15" t="s">
        <v>150</v>
      </c>
      <c r="B19" s="11" t="s">
        <v>164</v>
      </c>
      <c r="C19" s="30" t="n">
        <v>46391</v>
      </c>
      <c r="D19" s="15" t="s">
        <v>152</v>
      </c>
      <c r="E19" s="15" t="s">
        <v>165</v>
      </c>
      <c r="F19" s="11" t="s">
        <v>166</v>
      </c>
    </row>
    <row r="20" customFormat="false" ht="15" hidden="false" customHeight="false" outlineLevel="0" collapsed="false">
      <c r="A20" s="15" t="s">
        <v>167</v>
      </c>
      <c r="B20" s="11" t="s">
        <v>168</v>
      </c>
      <c r="C20" s="27" t="n">
        <v>4200</v>
      </c>
      <c r="D20" s="15" t="s">
        <v>140</v>
      </c>
      <c r="E20" s="15" t="s">
        <v>169</v>
      </c>
      <c r="F20" s="11" t="s">
        <v>170</v>
      </c>
    </row>
    <row r="21" customFormat="false" ht="15" hidden="false" customHeight="false" outlineLevel="0" collapsed="false">
      <c r="A21" s="15" t="s">
        <v>167</v>
      </c>
      <c r="B21" s="11" t="s">
        <v>171</v>
      </c>
      <c r="C21" s="29" t="n">
        <v>3</v>
      </c>
      <c r="D21" s="15" t="s">
        <v>172</v>
      </c>
      <c r="E21" s="15" t="s">
        <v>173</v>
      </c>
      <c r="F21" s="11" t="s">
        <v>174</v>
      </c>
    </row>
    <row r="22" customFormat="false" ht="15" hidden="false" customHeight="false" outlineLevel="0" collapsed="false">
      <c r="A22" s="15" t="s">
        <v>175</v>
      </c>
      <c r="B22" s="11" t="s">
        <v>176</v>
      </c>
      <c r="C22" s="33" t="n">
        <v>0.9</v>
      </c>
      <c r="D22" s="15" t="s">
        <v>177</v>
      </c>
      <c r="E22" s="15" t="s">
        <v>178</v>
      </c>
      <c r="F22" s="11" t="s">
        <v>179</v>
      </c>
    </row>
    <row r="23" customFormat="false" ht="15" hidden="false" customHeight="false" outlineLevel="0" collapsed="false">
      <c r="A23" s="15" t="s">
        <v>175</v>
      </c>
      <c r="B23" s="11" t="s">
        <v>180</v>
      </c>
      <c r="C23" s="33" t="n">
        <v>0.7</v>
      </c>
      <c r="D23" s="15" t="s">
        <v>177</v>
      </c>
      <c r="E23" s="15" t="s">
        <v>181</v>
      </c>
      <c r="F23" s="11" t="s">
        <v>179</v>
      </c>
    </row>
    <row r="24" customFormat="false" ht="15" hidden="false" customHeight="false" outlineLevel="0" collapsed="false">
      <c r="A24" s="15" t="s">
        <v>175</v>
      </c>
      <c r="B24" s="11" t="s">
        <v>182</v>
      </c>
      <c r="C24" s="34" t="n">
        <v>0.95</v>
      </c>
      <c r="D24" s="15" t="s">
        <v>177</v>
      </c>
      <c r="E24" s="15" t="s">
        <v>183</v>
      </c>
      <c r="F24" s="11" t="s">
        <v>179</v>
      </c>
    </row>
    <row r="25" customFormat="false" ht="15" hidden="false" customHeight="false" outlineLevel="0" collapsed="false">
      <c r="A25" s="15" t="s">
        <v>175</v>
      </c>
      <c r="B25" s="11" t="s">
        <v>184</v>
      </c>
      <c r="C25" s="34" t="n">
        <v>0.85</v>
      </c>
      <c r="D25" s="15" t="s">
        <v>177</v>
      </c>
      <c r="E25" s="15" t="s">
        <v>185</v>
      </c>
      <c r="F25" s="11" t="s">
        <v>179</v>
      </c>
    </row>
    <row r="26" customFormat="false" ht="15" hidden="false" customHeight="false" outlineLevel="0" collapsed="false">
      <c r="A26" s="15" t="s">
        <v>175</v>
      </c>
      <c r="B26" s="11" t="s">
        <v>186</v>
      </c>
      <c r="C26" s="29" t="n">
        <v>15</v>
      </c>
      <c r="D26" s="15" t="s">
        <v>187</v>
      </c>
      <c r="E26" s="15" t="s">
        <v>188</v>
      </c>
      <c r="F26" s="11" t="s">
        <v>189</v>
      </c>
    </row>
    <row r="27" customFormat="false" ht="15" hidden="false" customHeight="false" outlineLevel="0" collapsed="false">
      <c r="A27" s="15" t="s">
        <v>175</v>
      </c>
      <c r="B27" s="11" t="s">
        <v>190</v>
      </c>
      <c r="C27" s="29" t="n">
        <v>8</v>
      </c>
      <c r="D27" s="15" t="s">
        <v>187</v>
      </c>
      <c r="E27" s="15" t="s">
        <v>191</v>
      </c>
      <c r="F27" s="11" t="s">
        <v>189</v>
      </c>
    </row>
    <row r="28" customFormat="false" ht="15" hidden="false" customHeight="false" outlineLevel="0" collapsed="false">
      <c r="A28" s="15" t="s">
        <v>175</v>
      </c>
      <c r="B28" s="11" t="s">
        <v>192</v>
      </c>
      <c r="C28" s="29" t="n">
        <v>30</v>
      </c>
      <c r="D28" s="15" t="s">
        <v>193</v>
      </c>
      <c r="E28" s="15" t="s">
        <v>194</v>
      </c>
      <c r="F28" s="11" t="s">
        <v>179</v>
      </c>
    </row>
    <row r="29" customFormat="false" ht="26.85" hidden="false" customHeight="false" outlineLevel="0" collapsed="false">
      <c r="A29" s="15" t="s">
        <v>195</v>
      </c>
      <c r="B29" s="11" t="s">
        <v>196</v>
      </c>
      <c r="C29" s="33" t="n">
        <v>0.8</v>
      </c>
      <c r="D29" s="15" t="s">
        <v>162</v>
      </c>
      <c r="E29" s="15" t="s">
        <v>197</v>
      </c>
      <c r="F29" s="11" t="s">
        <v>198</v>
      </c>
    </row>
    <row r="30" customFormat="false" ht="15" hidden="false" customHeight="false" outlineLevel="0" collapsed="false">
      <c r="A30" s="15" t="s">
        <v>195</v>
      </c>
      <c r="B30" s="11" t="s">
        <v>199</v>
      </c>
      <c r="C30" s="29" t="n">
        <v>15</v>
      </c>
      <c r="D30" s="15" t="s">
        <v>193</v>
      </c>
      <c r="E30" s="15" t="s">
        <v>200</v>
      </c>
      <c r="F30" s="11" t="s">
        <v>201</v>
      </c>
    </row>
    <row r="31" customFormat="false" ht="15" hidden="false" customHeight="false" outlineLevel="0" collapsed="false">
      <c r="A31" s="15" t="s">
        <v>195</v>
      </c>
      <c r="B31" s="11" t="s">
        <v>202</v>
      </c>
      <c r="C31" s="29" t="n">
        <v>120</v>
      </c>
      <c r="D31" s="15" t="s">
        <v>193</v>
      </c>
      <c r="E31" s="15" t="s">
        <v>203</v>
      </c>
      <c r="F31" s="11" t="s">
        <v>204</v>
      </c>
    </row>
    <row r="32" customFormat="false" ht="15" hidden="false" customHeight="false" outlineLevel="0" collapsed="false">
      <c r="A32" s="15" t="s">
        <v>205</v>
      </c>
      <c r="B32" s="11" t="s">
        <v>206</v>
      </c>
      <c r="C32" s="34" t="n">
        <v>0.5</v>
      </c>
      <c r="D32" s="15" t="s">
        <v>207</v>
      </c>
      <c r="E32" s="15" t="s">
        <v>208</v>
      </c>
      <c r="F32" s="11" t="s">
        <v>209</v>
      </c>
    </row>
    <row r="33" customFormat="false" ht="15" hidden="false" customHeight="false" outlineLevel="0" collapsed="false">
      <c r="A33" s="15" t="s">
        <v>205</v>
      </c>
      <c r="B33" s="11" t="s">
        <v>210</v>
      </c>
      <c r="C33" s="34" t="n">
        <v>0.2</v>
      </c>
      <c r="D33" s="15" t="s">
        <v>207</v>
      </c>
      <c r="E33" s="15" t="s">
        <v>211</v>
      </c>
      <c r="F33" s="11" t="s">
        <v>212</v>
      </c>
    </row>
    <row r="34" customFormat="false" ht="15" hidden="false" customHeight="false" outlineLevel="0" collapsed="false">
      <c r="A34" s="15" t="s">
        <v>205</v>
      </c>
      <c r="B34" s="11" t="s">
        <v>213</v>
      </c>
      <c r="C34" s="34" t="n">
        <v>0.3</v>
      </c>
      <c r="D34" s="15" t="s">
        <v>207</v>
      </c>
      <c r="E34" s="15" t="s">
        <v>214</v>
      </c>
      <c r="F34" s="11" t="s">
        <v>212</v>
      </c>
    </row>
    <row r="35" customFormat="false" ht="15" hidden="false" customHeight="false" outlineLevel="0" collapsed="false">
      <c r="A35" s="15" t="s">
        <v>205</v>
      </c>
      <c r="B35" s="11" t="s">
        <v>215</v>
      </c>
      <c r="C35" s="34" t="n">
        <v>0.6</v>
      </c>
      <c r="D35" s="15" t="s">
        <v>216</v>
      </c>
      <c r="E35" s="15" t="s">
        <v>217</v>
      </c>
      <c r="F35" s="11" t="s">
        <v>212</v>
      </c>
    </row>
    <row r="36" customFormat="false" ht="15" hidden="false" customHeight="false" outlineLevel="0" collapsed="false">
      <c r="A36" s="15" t="s">
        <v>205</v>
      </c>
      <c r="B36" s="11" t="s">
        <v>218</v>
      </c>
      <c r="C36" s="34" t="n">
        <v>0.45</v>
      </c>
      <c r="D36" s="15" t="s">
        <v>216</v>
      </c>
      <c r="E36" s="15" t="s">
        <v>219</v>
      </c>
      <c r="F36" s="11" t="s">
        <v>212</v>
      </c>
    </row>
    <row r="37" customFormat="false" ht="15" hidden="false" customHeight="false" outlineLevel="0" collapsed="false">
      <c r="A37" s="15" t="s">
        <v>205</v>
      </c>
      <c r="B37" s="11" t="s">
        <v>220</v>
      </c>
      <c r="C37" s="33" t="n">
        <v>0.1</v>
      </c>
      <c r="D37" s="15" t="s">
        <v>162</v>
      </c>
      <c r="E37" s="15" t="s">
        <v>221</v>
      </c>
      <c r="F37" s="11" t="s">
        <v>222</v>
      </c>
    </row>
    <row r="38" customFormat="false" ht="15" hidden="false" customHeight="false" outlineLevel="0" collapsed="false">
      <c r="A38" s="15" t="s">
        <v>205</v>
      </c>
      <c r="B38" s="11" t="s">
        <v>223</v>
      </c>
      <c r="C38" s="35" t="n">
        <v>60000</v>
      </c>
      <c r="D38" s="15" t="s">
        <v>224</v>
      </c>
      <c r="E38" s="15" t="s">
        <v>225</v>
      </c>
      <c r="F38" s="11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227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228</v>
      </c>
    </row>
    <row r="4" customFormat="false" ht="33.75" hidden="false" customHeight="true" outlineLevel="0" collapsed="false">
      <c r="A4" s="14" t="s">
        <v>229</v>
      </c>
      <c r="B4" s="14" t="s">
        <v>230</v>
      </c>
      <c r="C4" s="14" t="s">
        <v>231</v>
      </c>
      <c r="D4" s="14" t="s">
        <v>146</v>
      </c>
      <c r="E4" s="14" t="s">
        <v>232</v>
      </c>
      <c r="F4" s="14" t="s">
        <v>233</v>
      </c>
    </row>
    <row r="5" customFormat="false" ht="15" hidden="false" customHeight="false" outlineLevel="0" collapsed="false">
      <c r="A5" s="15" t="n">
        <v>1</v>
      </c>
      <c r="B5" s="11" t="s">
        <v>234</v>
      </c>
      <c r="C5" s="36" t="n">
        <f aca="false">Total_Programa</f>
        <v>104000000</v>
      </c>
      <c r="D5" s="36" t="n">
        <f aca="false">F1_Presupuesto_PEP!E10</f>
        <v>104000000</v>
      </c>
      <c r="E5" s="36" t="n">
        <f aca="false">D5-C5</f>
        <v>0</v>
      </c>
      <c r="F5" s="17" t="str">
        <f aca="false">IF(ROUND(E5,0)=0,"OK","REVISAR")</f>
        <v>OK</v>
      </c>
    </row>
    <row r="6" customFormat="false" ht="15" hidden="false" customHeight="false" outlineLevel="0" collapsed="false">
      <c r="A6" s="15" t="n">
        <v>2</v>
      </c>
      <c r="B6" s="11" t="s">
        <v>235</v>
      </c>
      <c r="C6" s="36" t="n">
        <f aca="false">Total_Prestamo</f>
        <v>100000000</v>
      </c>
      <c r="D6" s="36" t="n">
        <f aca="false">F1_Presupuesto_PEP!C10</f>
        <v>100000000</v>
      </c>
      <c r="E6" s="36" t="n">
        <f aca="false">D6-C6</f>
        <v>0</v>
      </c>
      <c r="F6" s="17" t="str">
        <f aca="false">IF(ROUND(E6,0)=0,"OK","REVISAR")</f>
        <v>OK</v>
      </c>
    </row>
    <row r="7" customFormat="false" ht="15" hidden="false" customHeight="false" outlineLevel="0" collapsed="false">
      <c r="A7" s="15" t="n">
        <v>3</v>
      </c>
      <c r="B7" s="11" t="s">
        <v>236</v>
      </c>
      <c r="C7" s="36" t="n">
        <f aca="false">Total_Donacion</f>
        <v>4000000</v>
      </c>
      <c r="D7" s="36" t="n">
        <f aca="false">F1_Presupuesto_PEP!D10</f>
        <v>4000000</v>
      </c>
      <c r="E7" s="36" t="n">
        <f aca="false">D7-C7</f>
        <v>0</v>
      </c>
      <c r="F7" s="17" t="str">
        <f aca="false">IF(ROUND(E7,0)=0,"OK","REVISAR")</f>
        <v>OK</v>
      </c>
    </row>
    <row r="8" customFormat="false" ht="15" hidden="false" customHeight="false" outlineLevel="0" collapsed="false">
      <c r="A8" s="15" t="n">
        <v>4</v>
      </c>
      <c r="B8" s="11" t="s">
        <v>237</v>
      </c>
      <c r="C8" s="36" t="n">
        <v>0</v>
      </c>
      <c r="D8" s="36" t="n">
        <f aca="false">COUNTIF(F1_Presupuesto_PEP!M5:M9,"REVISAR")</f>
        <v>0</v>
      </c>
      <c r="E8" s="36" t="n">
        <f aca="false">D8-C8</f>
        <v>0</v>
      </c>
      <c r="F8" s="17" t="str">
        <f aca="false">IF(ROUND(E8,0)=0,"OK","REVISAR")</f>
        <v>OK</v>
      </c>
    </row>
    <row r="9" customFormat="false" ht="15" hidden="false" customHeight="false" outlineLevel="0" collapsed="false">
      <c r="A9" s="15" t="n">
        <v>5</v>
      </c>
      <c r="B9" s="11" t="s">
        <v>238</v>
      </c>
      <c r="C9" s="36" t="n">
        <f aca="false">P1_Avance_FF!C10</f>
        <v>6500000</v>
      </c>
      <c r="D9" s="36" t="n">
        <f aca="false">SUM(F3_Plan_Financiero!D5:D8)</f>
        <v>6500000</v>
      </c>
      <c r="E9" s="36" t="n">
        <f aca="false">D9-C9</f>
        <v>0</v>
      </c>
      <c r="F9" s="17" t="str">
        <f aca="false">IF(ROUND(E9,0)=0,"OK","REVISAR")</f>
        <v>OK</v>
      </c>
    </row>
    <row r="10" customFormat="false" ht="15" hidden="false" customHeight="false" outlineLevel="0" collapsed="false">
      <c r="A10" s="15" t="n">
        <v>6</v>
      </c>
      <c r="B10" s="11" t="s">
        <v>239</v>
      </c>
      <c r="C10" s="36" t="n">
        <f aca="false">F1_Presupuesto_PEP!E10</f>
        <v>104000000</v>
      </c>
      <c r="D10" s="36" t="n">
        <f aca="false">F1_Presupuesto_PEP!N10</f>
        <v>2728350</v>
      </c>
      <c r="E10" s="36" t="n">
        <f aca="false">D10-C10</f>
        <v>-101271650</v>
      </c>
      <c r="F10" s="17" t="str">
        <f aca="false">IF(D10&lt;=C10,"OK","REVISAR")</f>
        <v>OK</v>
      </c>
    </row>
    <row r="11" customFormat="false" ht="15" hidden="false" customHeight="false" outlineLevel="0" collapsed="false">
      <c r="A11" s="15" t="n">
        <v>7</v>
      </c>
      <c r="B11" s="11" t="s">
        <v>240</v>
      </c>
      <c r="C11" s="36" t="n">
        <v>0</v>
      </c>
      <c r="D11" s="36" t="n">
        <f aca="false">SUMPRODUCT(--(P1_POA!$J$5:$J$200&gt;P1_POA!$G$5:$G$200))</f>
        <v>0</v>
      </c>
      <c r="E11" s="36" t="n">
        <f aca="false">D11-C11</f>
        <v>0</v>
      </c>
      <c r="F11" s="17" t="str">
        <f aca="false">IF(ROUND(E11,0)=0,"OK","REVISAR")</f>
        <v>OK</v>
      </c>
    </row>
    <row r="12" customFormat="false" ht="15" hidden="false" customHeight="false" outlineLevel="0" collapsed="false">
      <c r="A12" s="15" t="n">
        <v>8</v>
      </c>
      <c r="B12" s="11" t="s">
        <v>241</v>
      </c>
      <c r="C12" s="36" t="n">
        <v>0</v>
      </c>
      <c r="D12" s="36" t="n">
        <f aca="false">SUM(F5_Contratos!$P$5:$P$200)</f>
        <v>0</v>
      </c>
      <c r="E12" s="36" t="n">
        <f aca="false">D12-C12</f>
        <v>0</v>
      </c>
      <c r="F12" s="17" t="str">
        <f aca="false">IF(ROUND(E12,0)=0,"OK","REVISAR")</f>
        <v>OK</v>
      </c>
    </row>
    <row r="13" customFormat="false" ht="15" hidden="false" customHeight="false" outlineLevel="0" collapsed="false">
      <c r="A13" s="15" t="n">
        <v>9</v>
      </c>
      <c r="B13" s="11" t="s">
        <v>242</v>
      </c>
      <c r="C13" s="36" t="n">
        <v>0</v>
      </c>
      <c r="D13" s="36" t="n">
        <f aca="false">SUM(F2_Ejecucion!$N$5:$N$500)</f>
        <v>0</v>
      </c>
      <c r="E13" s="36" t="n">
        <f aca="false">D13-C13</f>
        <v>0</v>
      </c>
      <c r="F13" s="17" t="str">
        <f aca="false">IF(ROUND(E13,0)=0,"OK","REVISAR")</f>
        <v>OK</v>
      </c>
    </row>
    <row r="14" customFormat="false" ht="15" hidden="false" customHeight="false" outlineLevel="0" collapsed="false">
      <c r="A14" s="15" t="n">
        <v>10</v>
      </c>
      <c r="B14" s="11" t="s">
        <v>243</v>
      </c>
      <c r="C14" s="36" t="n">
        <v>0</v>
      </c>
      <c r="D14" s="36" t="n">
        <f aca="false">COUNTIFS(F2_Ejecucion!$B$5:$B$500,"&lt;"&amp;Fecha_Inicio)+COUNTIFS(F2_Ejecucion!$B$5:$B$500,"&gt;"&amp;Fecha_Corte)</f>
        <v>0</v>
      </c>
      <c r="E14" s="36" t="n">
        <f aca="false">D14-C14</f>
        <v>0</v>
      </c>
      <c r="F14" s="17" t="str">
        <f aca="false">IF(ROUND(E14,0)=0,"OK","REVISAR")</f>
        <v>OK</v>
      </c>
    </row>
    <row r="15" customFormat="false" ht="15" hidden="false" customHeight="false" outlineLevel="0" collapsed="false">
      <c r="A15" s="15" t="n">
        <v>11</v>
      </c>
      <c r="B15" s="11" t="s">
        <v>244</v>
      </c>
      <c r="C15" s="36" t="n">
        <v>0</v>
      </c>
      <c r="D15" s="36" t="n">
        <f aca="false">SUMPRODUCT((F2_Ejecucion!$E$5:$E$500&lt;&gt;"")*(COUNTIF(F5_Contratos!$A$5:$A$200,F2_Ejecucion!$E$5:$E$500)=0))</f>
        <v>0</v>
      </c>
      <c r="E15" s="36" t="n">
        <f aca="false">D15-C15</f>
        <v>0</v>
      </c>
      <c r="F15" s="17" t="str">
        <f aca="false">IF(ROUND(E15,0)=0,"OK","REVISAR")</f>
        <v>OK</v>
      </c>
    </row>
    <row r="16" customFormat="false" ht="15" hidden="false" customHeight="false" outlineLevel="0" collapsed="false">
      <c r="A16" s="15" t="n">
        <v>12</v>
      </c>
      <c r="B16" s="11" t="s">
        <v>245</v>
      </c>
      <c r="C16" s="36" t="n">
        <v>0</v>
      </c>
      <c r="D16" s="36" t="n">
        <f aca="false">SUMPRODUCT((F2_Ejecucion!$D$5:$D$500&lt;&gt;"")*(COUNTIF(P1_POA!$A$5:$A$200,F2_Ejecucion!$D$5:$D$500)=0))</f>
        <v>0</v>
      </c>
      <c r="E16" s="36" t="n">
        <f aca="false">D16-C16</f>
        <v>0</v>
      </c>
      <c r="F16" s="17" t="str">
        <f aca="false">IF(ROUND(E16,0)=0,"OK","REVISAR")</f>
        <v>OK</v>
      </c>
    </row>
    <row r="17" customFormat="false" ht="15" hidden="false" customHeight="false" outlineLevel="0" collapsed="false">
      <c r="A17" s="15" t="n">
        <v>13</v>
      </c>
      <c r="B17" s="11" t="s">
        <v>246</v>
      </c>
      <c r="C17" s="36" t="n">
        <f aca="false">F3_Desembolsos!L12</f>
        <v>596450</v>
      </c>
      <c r="D17" s="36" t="n">
        <f aca="false">F3_Desembolsos!L11</f>
        <v>596450</v>
      </c>
      <c r="E17" s="36" t="n">
        <f aca="false">D17-C17</f>
        <v>0</v>
      </c>
      <c r="F17" s="17" t="str">
        <f aca="false">IF(ROUND(E17,0)=0,"OK","REVISAR")</f>
        <v>OK</v>
      </c>
    </row>
    <row r="18" customFormat="false" ht="15" hidden="false" customHeight="false" outlineLevel="0" collapsed="false">
      <c r="A18" s="15" t="n">
        <v>14</v>
      </c>
      <c r="B18" s="11" t="s">
        <v>247</v>
      </c>
      <c r="C18" s="36" t="n">
        <f aca="false">Meta_Benef_5A</f>
        <v>60000</v>
      </c>
      <c r="D18" s="36" t="n">
        <f aca="false">P2_Focalizacion!E19</f>
        <v>60000</v>
      </c>
      <c r="E18" s="36" t="n">
        <f aca="false">D18-C18</f>
        <v>0</v>
      </c>
      <c r="F18" s="17" t="str">
        <f aca="false">IF(ROUND(E18,0)=0,"OK","REVISAR")</f>
        <v>OK</v>
      </c>
    </row>
    <row r="19" customFormat="false" ht="15" hidden="false" customHeight="false" outlineLevel="0" collapsed="false">
      <c r="A19" s="15" t="n">
        <v>15</v>
      </c>
      <c r="B19" s="11" t="s">
        <v>248</v>
      </c>
      <c r="C19" s="36" t="n">
        <f aca="false">F1_Presupuesto_PEP!N10</f>
        <v>2728350</v>
      </c>
      <c r="D19" s="36" t="n">
        <f aca="false">P2_Focalizacion!P19</f>
        <v>735000</v>
      </c>
      <c r="E19" s="36" t="n">
        <f aca="false">D19-C19</f>
        <v>-1993350</v>
      </c>
      <c r="F19" s="17" t="str">
        <f aca="false">IF(D19&lt;=C19,"OK","REVISAR")</f>
        <v>OK</v>
      </c>
    </row>
    <row r="20" customFormat="false" ht="15" hidden="false" customHeight="false" outlineLevel="0" collapsed="false">
      <c r="A20" s="15" t="n">
        <v>16</v>
      </c>
      <c r="B20" s="11" t="s">
        <v>249</v>
      </c>
      <c r="C20" s="36" t="n">
        <v>0</v>
      </c>
      <c r="D20" s="36" t="n">
        <f aca="false">COUNTIF(A1_RACI!J5:J40,"REVISAR")</f>
        <v>0</v>
      </c>
      <c r="E20" s="36" t="n">
        <f aca="false">D20-C20</f>
        <v>0</v>
      </c>
      <c r="F20" s="17" t="str">
        <f aca="false">IF(ROUND(E20,0)=0,"OK","REVISAR")</f>
        <v>OK</v>
      </c>
    </row>
    <row r="22" customFormat="false" ht="15" hidden="false" customHeight="false" outlineLevel="0" collapsed="false">
      <c r="B22" s="12" t="s">
        <v>250</v>
      </c>
      <c r="C22" s="37" t="str">
        <f aca="false">IF(COUNTIF(F5:F20,"REVISAR")=0,"TODOS LOS CONTROLES OK","REVISAR "&amp;COUNTIF(F5:F20,"REVISAR")&amp;" CONTROL(ES)")</f>
        <v>TODOS LOS CONTROLES OK</v>
      </c>
      <c r="D22" s="37"/>
      <c r="E22" s="37"/>
    </row>
  </sheetData>
  <mergeCells count="1">
    <mergeCell ref="C22:E22"/>
  </mergeCells>
  <conditionalFormatting sqref="F5:F2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"REVISAR"</formula>
    </cfRule>
  </conditionalFormatting>
  <conditionalFormatting sqref="C22">
    <cfRule type="expression" priority="4" aboveAverage="0" equalAverage="0" bottom="0" percent="0" rank="0" text="" dxfId="0">
      <formula>C22="TODOS LOS CONTROLES OK"</formula>
    </cfRule>
    <cfRule type="expression" priority="5" aboveAverage="0" equalAverage="0" bottom="0" percent="0" rank="0" text="" dxfId="2">
      <formula>C22&lt;&gt;"TODOS LOS CONTROLES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T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13" min="8" style="0" width="10"/>
    <col collapsed="false" customWidth="true" hidden="false" outlineLevel="0" max="16" min="14" style="0" width="11"/>
    <col collapsed="false" customWidth="true" hidden="false" outlineLevel="0" max="17" min="17" style="0" width="10"/>
    <col collapsed="false" customWidth="true" hidden="false" outlineLevel="0" max="18" min="18" style="0" width="34"/>
    <col collapsed="false" customWidth="true" hidden="false" outlineLevel="0" max="19" min="19" style="0" width="12"/>
    <col collapsed="false" customWidth="true" hidden="false" outlineLevel="0" max="20" min="20" style="0" width="24"/>
  </cols>
  <sheetData>
    <row r="1" customFormat="false" ht="24" hidden="false" customHeight="true" outlineLevel="0" collapsed="false">
      <c r="A1" s="1" t="s">
        <v>251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252</v>
      </c>
    </row>
    <row r="4" customFormat="false" ht="43.5" hidden="false" customHeight="true" outlineLevel="0" collapsed="false">
      <c r="A4" s="14" t="s">
        <v>253</v>
      </c>
      <c r="B4" s="14" t="s">
        <v>254</v>
      </c>
      <c r="C4" s="14" t="s">
        <v>255</v>
      </c>
      <c r="D4" s="14" t="s">
        <v>118</v>
      </c>
      <c r="E4" s="14" t="s">
        <v>256</v>
      </c>
      <c r="F4" s="14" t="s">
        <v>257</v>
      </c>
      <c r="G4" s="14" t="s">
        <v>258</v>
      </c>
      <c r="H4" s="14" t="s">
        <v>259</v>
      </c>
      <c r="I4" s="14" t="s">
        <v>260</v>
      </c>
      <c r="J4" s="14" t="s">
        <v>261</v>
      </c>
      <c r="K4" s="14" t="s">
        <v>262</v>
      </c>
      <c r="L4" s="14" t="s">
        <v>263</v>
      </c>
      <c r="M4" s="14" t="s">
        <v>264</v>
      </c>
      <c r="N4" s="14" t="s">
        <v>265</v>
      </c>
      <c r="O4" s="14" t="s">
        <v>266</v>
      </c>
      <c r="P4" s="14" t="s">
        <v>267</v>
      </c>
      <c r="Q4" s="14" t="s">
        <v>95</v>
      </c>
      <c r="R4" s="14" t="s">
        <v>268</v>
      </c>
      <c r="S4" s="14" t="s">
        <v>21</v>
      </c>
      <c r="T4" s="14" t="s">
        <v>269</v>
      </c>
    </row>
    <row r="5" customFormat="false" ht="26.85" hidden="false" customHeight="false" outlineLevel="0" collapsed="false">
      <c r="A5" s="38" t="s">
        <v>270</v>
      </c>
      <c r="B5" s="38" t="s">
        <v>271</v>
      </c>
      <c r="C5" s="39" t="s">
        <v>272</v>
      </c>
      <c r="D5" s="38" t="s">
        <v>162</v>
      </c>
      <c r="E5" s="38" t="s">
        <v>273</v>
      </c>
      <c r="F5" s="40" t="n">
        <v>0.7</v>
      </c>
      <c r="G5" s="38" t="s">
        <v>254</v>
      </c>
      <c r="H5" s="40" t="n">
        <v>0.7</v>
      </c>
      <c r="I5" s="40" t="n">
        <v>0.72</v>
      </c>
      <c r="J5" s="40" t="n">
        <v>0.76</v>
      </c>
      <c r="K5" s="40" t="n">
        <v>0.81</v>
      </c>
      <c r="L5" s="40" t="n">
        <v>0.85</v>
      </c>
      <c r="M5" s="41" t="n">
        <f aca="false">L5</f>
        <v>0.85</v>
      </c>
      <c r="N5" s="40"/>
      <c r="O5" s="41" t="n">
        <f aca="false">IF(G5="Nivel",INDEX(H5:L5,Anio_Programa),IF(G5="Anual",INDEX(H5:L5,Anio_Programa)*Frac_Anio,IF(Anio_Programa=1,F5,INDEX(H5:L5,Anio_Programa-1))+(INDEX(H5:L5,Anio_Programa)-IF(Anio_Programa=1,F5,INDEX(H5:L5,Anio_Programa-1)))*Frac_Anio))</f>
        <v>0.7</v>
      </c>
      <c r="P5" s="41" t="str">
        <f aca="false">IF(N5="","Sin dato",IF(O5=0,"n/a",N5/O5))</f>
        <v>Sin dato</v>
      </c>
      <c r="Q5" s="17" t="str">
        <f aca="false">IF(NOT(ISNUMBER(P5)),"Sin dato",IF(P5&gt;=Umbral_Verde,"Verde",IF(P5&gt;=Umbral_Amarillo,"Amarillo","Rojo")))</f>
        <v>Sin dato</v>
      </c>
      <c r="R5" s="39" t="s">
        <v>274</v>
      </c>
      <c r="S5" s="38" t="s">
        <v>275</v>
      </c>
      <c r="T5" s="38" t="s">
        <v>276</v>
      </c>
    </row>
    <row r="6" customFormat="false" ht="15" hidden="false" customHeight="false" outlineLevel="0" collapsed="false">
      <c r="A6" s="38" t="s">
        <v>277</v>
      </c>
      <c r="B6" s="38" t="s">
        <v>271</v>
      </c>
      <c r="C6" s="39" t="s">
        <v>278</v>
      </c>
      <c r="D6" s="38" t="s">
        <v>162</v>
      </c>
      <c r="E6" s="38" t="s">
        <v>273</v>
      </c>
      <c r="F6" s="40" t="n">
        <v>0.4</v>
      </c>
      <c r="G6" s="38" t="s">
        <v>254</v>
      </c>
      <c r="H6" s="40" t="n">
        <v>0.4</v>
      </c>
      <c r="I6" s="40" t="n">
        <v>0.42</v>
      </c>
      <c r="J6" s="40" t="n">
        <v>0.48</v>
      </c>
      <c r="K6" s="40" t="n">
        <v>0.54</v>
      </c>
      <c r="L6" s="40" t="n">
        <v>0.6</v>
      </c>
      <c r="M6" s="41" t="n">
        <f aca="false">L6</f>
        <v>0.6</v>
      </c>
      <c r="N6" s="40"/>
      <c r="O6" s="41" t="n">
        <f aca="false">IF(G6="Nivel",INDEX(H6:L6,Anio_Programa),IF(G6="Anual",INDEX(H6:L6,Anio_Programa)*Frac_Anio,IF(Anio_Programa=1,F6,INDEX(H6:L6,Anio_Programa-1))+(INDEX(H6:L6,Anio_Programa)-IF(Anio_Programa=1,F6,INDEX(H6:L6,Anio_Programa-1)))*Frac_Anio))</f>
        <v>0.4</v>
      </c>
      <c r="P6" s="41" t="str">
        <f aca="false">IF(N6="","Sin dato",IF(O6=0,"n/a",N6/O6))</f>
        <v>Sin dato</v>
      </c>
      <c r="Q6" s="17" t="str">
        <f aca="false">IF(NOT(ISNUMBER(P6)),"Sin dato",IF(P6&gt;=Umbral_Verde,"Verde",IF(P6&gt;=Umbral_Amarillo,"Amarillo","Rojo")))</f>
        <v>Sin dato</v>
      </c>
      <c r="R6" s="39" t="s">
        <v>279</v>
      </c>
      <c r="S6" s="38" t="s">
        <v>275</v>
      </c>
      <c r="T6" s="38" t="s">
        <v>276</v>
      </c>
    </row>
    <row r="7" customFormat="false" ht="26.85" hidden="false" customHeight="false" outlineLevel="0" collapsed="false">
      <c r="A7" s="38" t="s">
        <v>280</v>
      </c>
      <c r="B7" s="38" t="s">
        <v>271</v>
      </c>
      <c r="C7" s="39" t="s">
        <v>281</v>
      </c>
      <c r="D7" s="38" t="s">
        <v>162</v>
      </c>
      <c r="E7" s="38" t="s">
        <v>282</v>
      </c>
      <c r="F7" s="40" t="n">
        <v>0.25</v>
      </c>
      <c r="G7" s="38" t="s">
        <v>254</v>
      </c>
      <c r="H7" s="40" t="n">
        <v>0.25</v>
      </c>
      <c r="I7" s="40" t="n">
        <v>0.25</v>
      </c>
      <c r="J7" s="40" t="n">
        <v>0.3</v>
      </c>
      <c r="K7" s="40" t="n">
        <v>0.38</v>
      </c>
      <c r="L7" s="40" t="n">
        <v>0.45</v>
      </c>
      <c r="M7" s="41" t="n">
        <f aca="false">L7</f>
        <v>0.45</v>
      </c>
      <c r="N7" s="40"/>
      <c r="O7" s="41" t="n">
        <f aca="false">IF(G7="Nivel",INDEX(H7:L7,Anio_Programa),IF(G7="Anual",INDEX(H7:L7,Anio_Programa)*Frac_Anio,IF(Anio_Programa=1,F7,INDEX(H7:L7,Anio_Programa-1))+(INDEX(H7:L7,Anio_Programa)-IF(Anio_Programa=1,F7,INDEX(H7:L7,Anio_Programa-1)))*Frac_Anio))</f>
        <v>0.25</v>
      </c>
      <c r="P7" s="41" t="str">
        <f aca="false">IF(N7="","Sin dato",IF(O7=0,"n/a",N7/O7))</f>
        <v>Sin dato</v>
      </c>
      <c r="Q7" s="17" t="str">
        <f aca="false">IF(NOT(ISNUMBER(P7)),"Sin dato",IF(P7&gt;=Umbral_Verde,"Verde",IF(P7&gt;=Umbral_Amarillo,"Amarillo","Rojo")))</f>
        <v>Sin dato</v>
      </c>
      <c r="R7" s="39" t="s">
        <v>283</v>
      </c>
      <c r="S7" s="38" t="s">
        <v>275</v>
      </c>
      <c r="T7" s="38" t="s">
        <v>276</v>
      </c>
    </row>
    <row r="8" customFormat="false" ht="26.85" hidden="false" customHeight="false" outlineLevel="0" collapsed="false">
      <c r="A8" s="38" t="s">
        <v>284</v>
      </c>
      <c r="B8" s="38" t="s">
        <v>285</v>
      </c>
      <c r="C8" s="39" t="s">
        <v>286</v>
      </c>
      <c r="D8" s="38" t="s">
        <v>224</v>
      </c>
      <c r="E8" s="38" t="s">
        <v>287</v>
      </c>
      <c r="F8" s="42" t="n">
        <v>0</v>
      </c>
      <c r="G8" s="38" t="s">
        <v>288</v>
      </c>
      <c r="H8" s="42" t="n">
        <v>4000</v>
      </c>
      <c r="I8" s="42" t="n">
        <v>12000</v>
      </c>
      <c r="J8" s="42" t="n">
        <v>24000</v>
      </c>
      <c r="K8" s="42" t="n">
        <v>38000</v>
      </c>
      <c r="L8" s="42" t="n">
        <v>50000</v>
      </c>
      <c r="M8" s="43" t="n">
        <f aca="false">L8</f>
        <v>50000</v>
      </c>
      <c r="N8" s="42" t="n">
        <v>1650</v>
      </c>
      <c r="O8" s="43" t="n">
        <f aca="false">IF(G8="Nivel",INDEX(H8:L8,Anio_Programa),IF(G8="Anual",INDEX(H8:L8,Anio_Programa)*Frac_Anio,IF(Anio_Programa=1,F8,INDEX(H8:L8,Anio_Programa-1))+(INDEX(H8:L8,Anio_Programa)-IF(Anio_Programa=1,F8,INDEX(H8:L8,Anio_Programa-1)))*Frac_Anio))</f>
        <v>1971.25256673511</v>
      </c>
      <c r="P8" s="41" t="n">
        <f aca="false">IF(N8="","Sin dato",IF(O8=0,"n/a",N8/O8))</f>
        <v>0.83703125</v>
      </c>
      <c r="Q8" s="17" t="str">
        <f aca="false">IF(NOT(ISNUMBER(P8)),"Sin dato",IF(P8&gt;=Umbral_Verde,"Verde",IF(P8&gt;=Umbral_Amarillo,"Amarillo","Rojo")))</f>
        <v>Amarillo</v>
      </c>
      <c r="R8" s="39" t="s">
        <v>289</v>
      </c>
      <c r="S8" s="38" t="s">
        <v>26</v>
      </c>
      <c r="T8" s="38" t="s">
        <v>46</v>
      </c>
    </row>
    <row r="9" customFormat="false" ht="26.85" hidden="false" customHeight="false" outlineLevel="0" collapsed="false">
      <c r="A9" s="38" t="s">
        <v>290</v>
      </c>
      <c r="B9" s="38" t="s">
        <v>285</v>
      </c>
      <c r="C9" s="39" t="s">
        <v>291</v>
      </c>
      <c r="D9" s="38" t="s">
        <v>224</v>
      </c>
      <c r="E9" s="38" t="s">
        <v>273</v>
      </c>
      <c r="F9" s="42" t="n">
        <v>0</v>
      </c>
      <c r="G9" s="38" t="s">
        <v>288</v>
      </c>
      <c r="H9" s="42" t="n">
        <v>6000</v>
      </c>
      <c r="I9" s="42" t="n">
        <v>16000</v>
      </c>
      <c r="J9" s="42" t="n">
        <v>30000</v>
      </c>
      <c r="K9" s="42" t="n">
        <v>46000</v>
      </c>
      <c r="L9" s="42" t="n">
        <v>60000</v>
      </c>
      <c r="M9" s="43" t="n">
        <f aca="false">L9</f>
        <v>60000</v>
      </c>
      <c r="N9" s="42" t="n">
        <f aca="false">P2_Focalizacion!G19</f>
        <v>2380</v>
      </c>
      <c r="O9" s="43" t="n">
        <f aca="false">IF(G9="Nivel",INDEX(H9:L9,Anio_Programa),IF(G9="Anual",INDEX(H9:L9,Anio_Programa)*Frac_Anio,IF(Anio_Programa=1,F9,INDEX(H9:L9,Anio_Programa-1))+(INDEX(H9:L9,Anio_Programa)-IF(Anio_Programa=1,F9,INDEX(H9:L9,Anio_Programa-1)))*Frac_Anio))</f>
        <v>2956.87885010267</v>
      </c>
      <c r="P9" s="41" t="n">
        <f aca="false">IF(N9="","Sin dato",IF(O9=0,"n/a",N9/O9))</f>
        <v>0.804902777777778</v>
      </c>
      <c r="Q9" s="17" t="str">
        <f aca="false">IF(NOT(ISNUMBER(P9)),"Sin dato",IF(P9&gt;=Umbral_Verde,"Verde",IF(P9&gt;=Umbral_Amarillo,"Amarillo","Rojo")))</f>
        <v>Amarillo</v>
      </c>
      <c r="R9" s="39" t="s">
        <v>44</v>
      </c>
      <c r="S9" s="38" t="s">
        <v>26</v>
      </c>
      <c r="T9" s="38" t="s">
        <v>46</v>
      </c>
    </row>
    <row r="10" customFormat="false" ht="15" hidden="false" customHeight="false" outlineLevel="0" collapsed="false">
      <c r="A10" s="38" t="s">
        <v>292</v>
      </c>
      <c r="B10" s="38" t="s">
        <v>285</v>
      </c>
      <c r="C10" s="39" t="s">
        <v>293</v>
      </c>
      <c r="D10" s="38" t="s">
        <v>224</v>
      </c>
      <c r="E10" s="38" t="s">
        <v>273</v>
      </c>
      <c r="F10" s="42" t="n">
        <v>0</v>
      </c>
      <c r="G10" s="38" t="s">
        <v>288</v>
      </c>
      <c r="H10" s="42" t="n">
        <v>540</v>
      </c>
      <c r="I10" s="42" t="n">
        <v>1440</v>
      </c>
      <c r="J10" s="42" t="n">
        <v>2700</v>
      </c>
      <c r="K10" s="42" t="n">
        <v>4140</v>
      </c>
      <c r="L10" s="42" t="n">
        <v>5400</v>
      </c>
      <c r="M10" s="43" t="n">
        <f aca="false">L10</f>
        <v>5400</v>
      </c>
      <c r="N10" s="42" t="n">
        <f aca="false">P2_Focalizacion!H19</f>
        <v>223</v>
      </c>
      <c r="O10" s="43" t="n">
        <f aca="false">IF(G10="Nivel",INDEX(H10:L10,Anio_Programa),IF(G10="Anual",INDEX(H10:L10,Anio_Programa)*Frac_Anio,IF(Anio_Programa=1,F10,INDEX(H10:L10,Anio_Programa-1))+(INDEX(H10:L10,Anio_Programa)-IF(Anio_Programa=1,F10,INDEX(H10:L10,Anio_Programa-1)))*Frac_Anio))</f>
        <v>266.11909650924</v>
      </c>
      <c r="P10" s="41" t="n">
        <f aca="false">IF(N10="","Sin dato",IF(O10=0,"n/a",N10/O10))</f>
        <v>0.837970679012346</v>
      </c>
      <c r="Q10" s="17" t="str">
        <f aca="false">IF(NOT(ISNUMBER(P10)),"Sin dato",IF(P10&gt;=Umbral_Verde,"Verde",IF(P10&gt;=Umbral_Amarillo,"Amarillo","Rojo")))</f>
        <v>Amarillo</v>
      </c>
      <c r="R10" s="39" t="s">
        <v>44</v>
      </c>
      <c r="S10" s="38" t="s">
        <v>26</v>
      </c>
      <c r="T10" s="38" t="s">
        <v>46</v>
      </c>
    </row>
    <row r="11" customFormat="false" ht="15" hidden="false" customHeight="false" outlineLevel="0" collapsed="false">
      <c r="A11" s="38" t="s">
        <v>294</v>
      </c>
      <c r="B11" s="38" t="s">
        <v>285</v>
      </c>
      <c r="C11" s="39" t="s">
        <v>295</v>
      </c>
      <c r="D11" s="38" t="s">
        <v>224</v>
      </c>
      <c r="E11" s="38" t="s">
        <v>273</v>
      </c>
      <c r="F11" s="42" t="n">
        <v>0</v>
      </c>
      <c r="G11" s="38" t="s">
        <v>288</v>
      </c>
      <c r="H11" s="42" t="n">
        <v>240</v>
      </c>
      <c r="I11" s="42" t="n">
        <v>640</v>
      </c>
      <c r="J11" s="42" t="n">
        <v>1200</v>
      </c>
      <c r="K11" s="42" t="n">
        <v>1840</v>
      </c>
      <c r="L11" s="42" t="n">
        <v>2400</v>
      </c>
      <c r="M11" s="43" t="n">
        <f aca="false">L11</f>
        <v>2400</v>
      </c>
      <c r="N11" s="42" t="n">
        <f aca="false">P2_Focalizacion!I19</f>
        <v>90</v>
      </c>
      <c r="O11" s="43" t="n">
        <f aca="false">IF(G11="Nivel",INDEX(H11:L11,Anio_Programa),IF(G11="Anual",INDEX(H11:L11,Anio_Programa)*Frac_Anio,IF(Anio_Programa=1,F11,INDEX(H11:L11,Anio_Programa-1))+(INDEX(H11:L11,Anio_Programa)-IF(Anio_Programa=1,F11,INDEX(H11:L11,Anio_Programa-1)))*Frac_Anio))</f>
        <v>118.275154004107</v>
      </c>
      <c r="P11" s="41" t="n">
        <f aca="false">IF(N11="","Sin dato",IF(O11=0,"n/a",N11/O11))</f>
        <v>0.7609375</v>
      </c>
      <c r="Q11" s="17" t="str">
        <f aca="false">IF(NOT(ISNUMBER(P11)),"Sin dato",IF(P11&gt;=Umbral_Verde,"Verde",IF(P11&gt;=Umbral_Amarillo,"Amarillo","Rojo")))</f>
        <v>Amarillo</v>
      </c>
      <c r="R11" s="39" t="s">
        <v>44</v>
      </c>
      <c r="S11" s="38" t="s">
        <v>26</v>
      </c>
      <c r="T11" s="38" t="s">
        <v>46</v>
      </c>
    </row>
    <row r="12" customFormat="false" ht="15" hidden="false" customHeight="false" outlineLevel="0" collapsed="false">
      <c r="A12" s="38" t="s">
        <v>296</v>
      </c>
      <c r="B12" s="38" t="s">
        <v>285</v>
      </c>
      <c r="C12" s="39" t="s">
        <v>297</v>
      </c>
      <c r="D12" s="38" t="s">
        <v>224</v>
      </c>
      <c r="E12" s="38" t="s">
        <v>273</v>
      </c>
      <c r="F12" s="42" t="n">
        <v>0</v>
      </c>
      <c r="G12" s="38" t="s">
        <v>288</v>
      </c>
      <c r="H12" s="42" t="n">
        <v>180</v>
      </c>
      <c r="I12" s="42" t="n">
        <v>480</v>
      </c>
      <c r="J12" s="42" t="n">
        <v>900</v>
      </c>
      <c r="K12" s="42" t="n">
        <v>1380</v>
      </c>
      <c r="L12" s="42" t="n">
        <v>1800</v>
      </c>
      <c r="M12" s="43" t="n">
        <f aca="false">L12</f>
        <v>1800</v>
      </c>
      <c r="N12" s="42" t="n">
        <f aca="false">P2_Focalizacion!J19</f>
        <v>75</v>
      </c>
      <c r="O12" s="43" t="n">
        <f aca="false">IF(G12="Nivel",INDEX(H12:L12,Anio_Programa),IF(G12="Anual",INDEX(H12:L12,Anio_Programa)*Frac_Anio,IF(Anio_Programa=1,F12,INDEX(H12:L12,Anio_Programa-1))+(INDEX(H12:L12,Anio_Programa)-IF(Anio_Programa=1,F12,INDEX(H12:L12,Anio_Programa-1)))*Frac_Anio))</f>
        <v>88.7063655030801</v>
      </c>
      <c r="P12" s="41" t="n">
        <f aca="false">IF(N12="","Sin dato",IF(O12=0,"n/a",N12/O12))</f>
        <v>0.845486111111111</v>
      </c>
      <c r="Q12" s="17" t="str">
        <f aca="false">IF(NOT(ISNUMBER(P12)),"Sin dato",IF(P12&gt;=Umbral_Verde,"Verde",IF(P12&gt;=Umbral_Amarillo,"Amarillo","Rojo")))</f>
        <v>Amarillo</v>
      </c>
      <c r="R12" s="39" t="s">
        <v>44</v>
      </c>
      <c r="S12" s="38" t="s">
        <v>26</v>
      </c>
      <c r="T12" s="38" t="s">
        <v>46</v>
      </c>
    </row>
    <row r="13" customFormat="false" ht="26.85" hidden="false" customHeight="false" outlineLevel="0" collapsed="false">
      <c r="A13" s="38" t="s">
        <v>298</v>
      </c>
      <c r="B13" s="38" t="s">
        <v>285</v>
      </c>
      <c r="C13" s="39" t="s">
        <v>299</v>
      </c>
      <c r="D13" s="38" t="s">
        <v>300</v>
      </c>
      <c r="E13" s="38" t="s">
        <v>301</v>
      </c>
      <c r="F13" s="42" t="n">
        <v>0</v>
      </c>
      <c r="G13" s="38" t="s">
        <v>288</v>
      </c>
      <c r="H13" s="42" t="n">
        <v>8</v>
      </c>
      <c r="I13" s="42" t="n">
        <v>20</v>
      </c>
      <c r="J13" s="42" t="n">
        <v>30</v>
      </c>
      <c r="K13" s="42" t="n">
        <v>36</v>
      </c>
      <c r="L13" s="42" t="n">
        <v>40</v>
      </c>
      <c r="M13" s="43" t="n">
        <f aca="false">L13</f>
        <v>40</v>
      </c>
      <c r="N13" s="42" t="n">
        <v>6</v>
      </c>
      <c r="O13" s="43" t="n">
        <f aca="false">IF(G13="Nivel",INDEX(H13:L13,Anio_Programa),IF(G13="Anual",INDEX(H13:L13,Anio_Programa)*Frac_Anio,IF(Anio_Programa=1,F13,INDEX(H13:L13,Anio_Programa-1))+(INDEX(H13:L13,Anio_Programa)-IF(Anio_Programa=1,F13,INDEX(H13:L13,Anio_Programa-1)))*Frac_Anio))</f>
        <v>3.94250513347023</v>
      </c>
      <c r="P13" s="41" t="n">
        <f aca="false">IF(N13="","Sin dato",IF(O13=0,"n/a",N13/O13))</f>
        <v>1.521875</v>
      </c>
      <c r="Q13" s="17" t="str">
        <f aca="false">IF(NOT(ISNUMBER(P13)),"Sin dato",IF(P13&gt;=Umbral_Verde,"Verde",IF(P13&gt;=Umbral_Amarillo,"Amarillo","Rojo")))</f>
        <v>Verde</v>
      </c>
      <c r="R13" s="39" t="s">
        <v>302</v>
      </c>
      <c r="S13" s="38" t="s">
        <v>26</v>
      </c>
      <c r="T13" s="38" t="s">
        <v>46</v>
      </c>
    </row>
    <row r="14" customFormat="false" ht="15" hidden="false" customHeight="false" outlineLevel="0" collapsed="false">
      <c r="A14" s="38" t="s">
        <v>303</v>
      </c>
      <c r="B14" s="38" t="s">
        <v>285</v>
      </c>
      <c r="C14" s="39" t="s">
        <v>304</v>
      </c>
      <c r="D14" s="38" t="s">
        <v>305</v>
      </c>
      <c r="E14" s="38" t="s">
        <v>282</v>
      </c>
      <c r="F14" s="42" t="n">
        <v>0</v>
      </c>
      <c r="G14" s="38" t="s">
        <v>288</v>
      </c>
      <c r="H14" s="42" t="n">
        <v>20</v>
      </c>
      <c r="I14" s="42" t="n">
        <v>60</v>
      </c>
      <c r="J14" s="42" t="n">
        <v>120</v>
      </c>
      <c r="K14" s="42" t="n">
        <v>180</v>
      </c>
      <c r="L14" s="42" t="n">
        <v>250</v>
      </c>
      <c r="M14" s="43" t="n">
        <f aca="false">L14</f>
        <v>250</v>
      </c>
      <c r="N14" s="42" t="n">
        <v>7</v>
      </c>
      <c r="O14" s="43" t="n">
        <f aca="false">IF(G14="Nivel",INDEX(H14:L14,Anio_Programa),IF(G14="Anual",INDEX(H14:L14,Anio_Programa)*Frac_Anio,IF(Anio_Programa=1,F14,INDEX(H14:L14,Anio_Programa-1))+(INDEX(H14:L14,Anio_Programa)-IF(Anio_Programa=1,F14,INDEX(H14:L14,Anio_Programa-1)))*Frac_Anio))</f>
        <v>9.85626283367557</v>
      </c>
      <c r="P14" s="41" t="n">
        <f aca="false">IF(N14="","Sin dato",IF(O14=0,"n/a",N14/O14))</f>
        <v>0.710208333333333</v>
      </c>
      <c r="Q14" s="17" t="str">
        <f aca="false">IF(NOT(ISNUMBER(P14)),"Sin dato",IF(P14&gt;=Umbral_Verde,"Verde",IF(P14&gt;=Umbral_Amarillo,"Amarillo","Rojo")))</f>
        <v>Amarillo</v>
      </c>
      <c r="R14" s="39" t="s">
        <v>306</v>
      </c>
      <c r="S14" s="38" t="s">
        <v>26</v>
      </c>
      <c r="T14" s="38" t="s">
        <v>46</v>
      </c>
    </row>
    <row r="15" customFormat="false" ht="26.85" hidden="false" customHeight="false" outlineLevel="0" collapsed="false">
      <c r="A15" s="38" t="s">
        <v>307</v>
      </c>
      <c r="B15" s="38" t="s">
        <v>285</v>
      </c>
      <c r="C15" s="39" t="s">
        <v>308</v>
      </c>
      <c r="D15" s="38" t="s">
        <v>309</v>
      </c>
      <c r="E15" s="38" t="s">
        <v>301</v>
      </c>
      <c r="F15" s="42" t="n">
        <v>0</v>
      </c>
      <c r="G15" s="38" t="s">
        <v>288</v>
      </c>
      <c r="H15" s="42" t="n">
        <v>3</v>
      </c>
      <c r="I15" s="42" t="n">
        <v>12</v>
      </c>
      <c r="J15" s="42" t="n">
        <v>25</v>
      </c>
      <c r="K15" s="42" t="n">
        <v>35</v>
      </c>
      <c r="L15" s="42" t="n">
        <v>40</v>
      </c>
      <c r="M15" s="43" t="n">
        <f aca="false">L15</f>
        <v>40</v>
      </c>
      <c r="N15" s="42" t="n">
        <v>0</v>
      </c>
      <c r="O15" s="43" t="n">
        <f aca="false">IF(G15="Nivel",INDEX(H15:L15,Anio_Programa),IF(G15="Anual",INDEX(H15:L15,Anio_Programa)*Frac_Anio,IF(Anio_Programa=1,F15,INDEX(H15:L15,Anio_Programa-1))+(INDEX(H15:L15,Anio_Programa)-IF(Anio_Programa=1,F15,INDEX(H15:L15,Anio_Programa-1)))*Frac_Anio))</f>
        <v>1.47843942505133</v>
      </c>
      <c r="P15" s="41" t="n">
        <f aca="false">IF(N15="","Sin dato",IF(O15=0,"n/a",N15/O15))</f>
        <v>0</v>
      </c>
      <c r="Q15" s="17" t="str">
        <f aca="false">IF(NOT(ISNUMBER(P15)),"Sin dato",IF(P15&gt;=Umbral_Verde,"Verde",IF(P15&gt;=Umbral_Amarillo,"Amarillo","Rojo")))</f>
        <v>Rojo</v>
      </c>
      <c r="R15" s="39" t="s">
        <v>310</v>
      </c>
      <c r="S15" s="38" t="s">
        <v>51</v>
      </c>
      <c r="T15" s="38" t="s">
        <v>46</v>
      </c>
    </row>
    <row r="16" customFormat="false" ht="26.85" hidden="false" customHeight="false" outlineLevel="0" collapsed="false">
      <c r="A16" s="38" t="s">
        <v>311</v>
      </c>
      <c r="B16" s="38" t="s">
        <v>285</v>
      </c>
      <c r="C16" s="39" t="s">
        <v>312</v>
      </c>
      <c r="D16" s="38" t="s">
        <v>162</v>
      </c>
      <c r="E16" s="38" t="s">
        <v>301</v>
      </c>
      <c r="F16" s="40" t="n">
        <v>0</v>
      </c>
      <c r="G16" s="38" t="s">
        <v>288</v>
      </c>
      <c r="H16" s="40" t="n">
        <v>0.8</v>
      </c>
      <c r="I16" s="40" t="n">
        <v>1</v>
      </c>
      <c r="J16" s="40" t="n">
        <v>1</v>
      </c>
      <c r="K16" s="40" t="n">
        <v>1</v>
      </c>
      <c r="L16" s="40" t="n">
        <v>1</v>
      </c>
      <c r="M16" s="41" t="n">
        <f aca="false">L16</f>
        <v>1</v>
      </c>
      <c r="N16" s="40" t="n">
        <v>0.35</v>
      </c>
      <c r="O16" s="41" t="n">
        <f aca="false">IF(G16="Nivel",INDEX(H16:L16,Anio_Programa),IF(G16="Anual",INDEX(H16:L16,Anio_Programa)*Frac_Anio,IF(Anio_Programa=1,F16,INDEX(H16:L16,Anio_Programa-1))+(INDEX(H16:L16,Anio_Programa)-IF(Anio_Programa=1,F16,INDEX(H16:L16,Anio_Programa-1)))*Frac_Anio))</f>
        <v>0.394250513347023</v>
      </c>
      <c r="P16" s="41" t="n">
        <f aca="false">IF(N16="","Sin dato",IF(O16=0,"n/a",N16/O16))</f>
        <v>0.887760416666667</v>
      </c>
      <c r="Q16" s="17" t="str">
        <f aca="false">IF(NOT(ISNUMBER(P16)),"Sin dato",IF(P16&gt;=Umbral_Verde,"Verde",IF(P16&gt;=Umbral_Amarillo,"Amarillo","Rojo")))</f>
        <v>Amarillo</v>
      </c>
      <c r="R16" s="39" t="s">
        <v>313</v>
      </c>
      <c r="S16" s="38" t="s">
        <v>26</v>
      </c>
      <c r="T16" s="38" t="s">
        <v>276</v>
      </c>
    </row>
    <row r="17" customFormat="false" ht="26.85" hidden="false" customHeight="false" outlineLevel="0" collapsed="false">
      <c r="A17" s="38" t="s">
        <v>314</v>
      </c>
      <c r="B17" s="38" t="s">
        <v>315</v>
      </c>
      <c r="C17" s="39" t="s">
        <v>316</v>
      </c>
      <c r="D17" s="38" t="s">
        <v>162</v>
      </c>
      <c r="E17" s="38" t="s">
        <v>317</v>
      </c>
      <c r="F17" s="40" t="n">
        <v>0</v>
      </c>
      <c r="G17" s="38" t="s">
        <v>288</v>
      </c>
      <c r="H17" s="40" t="n">
        <f aca="false">SUM(F1_Presupuesto_PEP!$G$10:G$10)/Total_Programa</f>
        <v>0.0625</v>
      </c>
      <c r="I17" s="40" t="n">
        <f aca="false">SUM(F1_Presupuesto_PEP!$G$10:H$10)/Total_Programa</f>
        <v>0.268653846153846</v>
      </c>
      <c r="J17" s="40" t="n">
        <f aca="false">SUM(F1_Presupuesto_PEP!$G$10:I$10)/Total_Programa</f>
        <v>0.549903846153846</v>
      </c>
      <c r="K17" s="40" t="n">
        <f aca="false">SUM(F1_Presupuesto_PEP!$G$10:J$10)/Total_Programa</f>
        <v>0.8125</v>
      </c>
      <c r="L17" s="40" t="n">
        <f aca="false">SUM(F1_Presupuesto_PEP!$G$10:K$10)/Total_Programa</f>
        <v>1</v>
      </c>
      <c r="M17" s="41" t="n">
        <f aca="false">L17</f>
        <v>1</v>
      </c>
      <c r="N17" s="40" t="n">
        <f aca="false">F1_Presupuesto_PEP!O10</f>
        <v>0.0262341346153846</v>
      </c>
      <c r="O17" s="41" t="n">
        <f aca="false">IF(G17="Nivel",INDEX(H17:L17,Anio_Programa),IF(G17="Anual",INDEX(H17:L17,Anio_Programa)*Frac_Anio,IF(Anio_Programa=1,F17,INDEX(H17:L17,Anio_Programa-1))+(INDEX(H17:L17,Anio_Programa)-IF(Anio_Programa=1,F17,INDEX(H17:L17,Anio_Programa-1)))*Frac_Anio))</f>
        <v>0.0308008213552361</v>
      </c>
      <c r="P17" s="41" t="n">
        <f aca="false">IF(N17="","Sin dato",IF(O17=0,"n/a",N17/O17))</f>
        <v>0.851734903846154</v>
      </c>
      <c r="Q17" s="17" t="str">
        <f aca="false">IF(NOT(ISNUMBER(P17)),"Sin dato",IF(P17&gt;=Umbral_Verde,"Verde",IF(P17&gt;=Umbral_Amarillo,"Amarillo","Rojo")))</f>
        <v>Amarillo</v>
      </c>
      <c r="R17" s="39" t="s">
        <v>47</v>
      </c>
      <c r="S17" s="38" t="s">
        <v>26</v>
      </c>
      <c r="T17" s="38" t="s">
        <v>50</v>
      </c>
    </row>
    <row r="18" customFormat="false" ht="15" hidden="false" customHeight="false" outlineLevel="0" collapsed="false">
      <c r="A18" s="38" t="s">
        <v>318</v>
      </c>
      <c r="B18" s="38" t="s">
        <v>315</v>
      </c>
      <c r="C18" s="39" t="s">
        <v>319</v>
      </c>
      <c r="D18" s="38" t="s">
        <v>162</v>
      </c>
      <c r="E18" s="38" t="s">
        <v>317</v>
      </c>
      <c r="F18" s="40" t="n">
        <v>0</v>
      </c>
      <c r="G18" s="38" t="s">
        <v>275</v>
      </c>
      <c r="H18" s="40" t="n">
        <v>1</v>
      </c>
      <c r="I18" s="40" t="n">
        <v>1</v>
      </c>
      <c r="J18" s="40" t="n">
        <v>1</v>
      </c>
      <c r="K18" s="40" t="n">
        <v>1</v>
      </c>
      <c r="L18" s="40" t="n">
        <v>1</v>
      </c>
      <c r="M18" s="41" t="n">
        <f aca="false">L18</f>
        <v>1</v>
      </c>
      <c r="N18" s="40" t="n">
        <f aca="false">P1_Avance_FF!F10</f>
        <v>0.447923076923077</v>
      </c>
      <c r="O18" s="41" t="n">
        <f aca="false">IF(G18="Nivel",INDEX(H18:L18,Anio_Programa),IF(G18="Anual",INDEX(H18:L18,Anio_Programa)*Frac_Anio,IF(Anio_Programa=1,F18,INDEX(H18:L18,Anio_Programa-1))+(INDEX(H18:L18,Anio_Programa)-IF(Anio_Programa=1,F18,INDEX(H18:L18,Anio_Programa-1)))*Frac_Anio))</f>
        <v>0.492813141683778</v>
      </c>
      <c r="P18" s="41" t="n">
        <f aca="false">IF(N18="","Sin dato",IF(O18=0,"n/a",N18/O18))</f>
        <v>0.908910576923077</v>
      </c>
      <c r="Q18" s="17" t="str">
        <f aca="false">IF(NOT(ISNUMBER(P18)),"Sin dato",IF(P18&gt;=Umbral_Verde,"Verde",IF(P18&gt;=Umbral_Amarillo,"Amarillo","Rojo")))</f>
        <v>Verde</v>
      </c>
      <c r="R18" s="39" t="s">
        <v>38</v>
      </c>
      <c r="S18" s="38" t="s">
        <v>26</v>
      </c>
      <c r="T18" s="38" t="s">
        <v>276</v>
      </c>
    </row>
    <row r="19" customFormat="false" ht="26.85" hidden="false" customHeight="false" outlineLevel="0" collapsed="false">
      <c r="A19" s="38" t="s">
        <v>320</v>
      </c>
      <c r="B19" s="38" t="s">
        <v>315</v>
      </c>
      <c r="C19" s="39" t="s">
        <v>321</v>
      </c>
      <c r="D19" s="38" t="s">
        <v>162</v>
      </c>
      <c r="E19" s="38" t="s">
        <v>317</v>
      </c>
      <c r="F19" s="40" t="n">
        <v>0</v>
      </c>
      <c r="G19" s="38" t="s">
        <v>254</v>
      </c>
      <c r="H19" s="40" t="n">
        <v>0.9</v>
      </c>
      <c r="I19" s="40" t="n">
        <v>0.9</v>
      </c>
      <c r="J19" s="40" t="n">
        <v>0.9</v>
      </c>
      <c r="K19" s="40" t="n">
        <v>0.9</v>
      </c>
      <c r="L19" s="40" t="n">
        <v>0.9</v>
      </c>
      <c r="M19" s="41" t="n">
        <f aca="false">L19</f>
        <v>0.9</v>
      </c>
      <c r="N19" s="40" t="n">
        <f aca="false">COUNTIF(F4_Plan_Adquisiciones!$I$5:$I$200,"Contratado")/COUNTIF(F4_Plan_Adquisiciones!$A$5:$A$200,"PA-*")</f>
        <v>0.8</v>
      </c>
      <c r="O19" s="41" t="n">
        <f aca="false">IF(G19="Nivel",INDEX(H19:L19,Anio_Programa),IF(G19="Anual",INDEX(H19:L19,Anio_Programa)*Frac_Anio,IF(Anio_Programa=1,F19,INDEX(H19:L19,Anio_Programa-1))+(INDEX(H19:L19,Anio_Programa)-IF(Anio_Programa=1,F19,INDEX(H19:L19,Anio_Programa-1)))*Frac_Anio))</f>
        <v>0.9</v>
      </c>
      <c r="P19" s="41" t="n">
        <f aca="false">IF(N19="","Sin dato",IF(O19=0,"n/a",N19/O19))</f>
        <v>0.888888888888889</v>
      </c>
      <c r="Q19" s="17" t="str">
        <f aca="false">IF(NOT(ISNUMBER(P19)),"Sin dato",IF(P19&gt;=Umbral_Verde,"Verde",IF(P19&gt;=Umbral_Amarillo,"Amarillo","Rojo")))</f>
        <v>Amarillo</v>
      </c>
      <c r="R19" s="39" t="s">
        <v>60</v>
      </c>
      <c r="S19" s="38" t="s">
        <v>26</v>
      </c>
      <c r="T19" s="38" t="s">
        <v>62</v>
      </c>
    </row>
    <row r="20" customFormat="false" ht="15" hidden="false" customHeight="false" outlineLevel="0" collapsed="false">
      <c r="A20" s="38" t="s">
        <v>322</v>
      </c>
      <c r="B20" s="38" t="s">
        <v>315</v>
      </c>
      <c r="C20" s="39" t="s">
        <v>323</v>
      </c>
      <c r="D20" s="38" t="s">
        <v>162</v>
      </c>
      <c r="E20" s="38" t="s">
        <v>324</v>
      </c>
      <c r="F20" s="40" t="n">
        <v>1</v>
      </c>
      <c r="G20" s="38" t="s">
        <v>254</v>
      </c>
      <c r="H20" s="40" t="n">
        <v>1</v>
      </c>
      <c r="I20" s="40" t="n">
        <v>1</v>
      </c>
      <c r="J20" s="40" t="n">
        <v>1</v>
      </c>
      <c r="K20" s="40" t="n">
        <v>1</v>
      </c>
      <c r="L20" s="40" t="n">
        <v>1</v>
      </c>
      <c r="M20" s="41" t="n">
        <f aca="false">L20</f>
        <v>1</v>
      </c>
      <c r="N20" s="40" t="n">
        <f aca="false">COUNTIF(A5_Calendario_Informes!$F$5:$F$30,"Entregado a tiempo")/COUNTIF(A5_Calendario_Informes!$F$5:$F$30,"Entregado*")</f>
        <v>0.8</v>
      </c>
      <c r="O20" s="41" t="n">
        <f aca="false">IF(G20="Nivel",INDEX(H20:L20,Anio_Programa),IF(G20="Anual",INDEX(H20:L20,Anio_Programa)*Frac_Anio,IF(Anio_Programa=1,F20,INDEX(H20:L20,Anio_Programa-1))+(INDEX(H20:L20,Anio_Programa)-IF(Anio_Programa=1,F20,INDEX(H20:L20,Anio_Programa-1)))*Frac_Anio))</f>
        <v>1</v>
      </c>
      <c r="P20" s="41" t="n">
        <f aca="false">IF(N20="","Sin dato",IF(O20=0,"n/a",N20/O20))</f>
        <v>0.8</v>
      </c>
      <c r="Q20" s="17" t="str">
        <f aca="false">IF(NOT(ISNUMBER(P20)),"Sin dato",IF(P20&gt;=Umbral_Verde,"Verde",IF(P20&gt;=Umbral_Amarillo,"Amarillo","Rojo")))</f>
        <v>Amarillo</v>
      </c>
      <c r="R20" s="39" t="s">
        <v>84</v>
      </c>
      <c r="S20" s="38" t="s">
        <v>26</v>
      </c>
      <c r="T20" s="38" t="s">
        <v>29</v>
      </c>
    </row>
    <row r="21" customFormat="false" ht="15" hidden="false" customHeight="false" outlineLevel="0" collapsed="false">
      <c r="A21" s="38" t="s">
        <v>325</v>
      </c>
      <c r="B21" s="38" t="s">
        <v>315</v>
      </c>
      <c r="C21" s="39" t="s">
        <v>326</v>
      </c>
      <c r="D21" s="38" t="s">
        <v>162</v>
      </c>
      <c r="E21" s="38" t="s">
        <v>324</v>
      </c>
      <c r="F21" s="40" t="n">
        <v>1</v>
      </c>
      <c r="G21" s="38" t="s">
        <v>254</v>
      </c>
      <c r="H21" s="40" t="n">
        <v>1</v>
      </c>
      <c r="I21" s="40" t="n">
        <v>1</v>
      </c>
      <c r="J21" s="40" t="n">
        <v>1</v>
      </c>
      <c r="K21" s="40" t="n">
        <v>1</v>
      </c>
      <c r="L21" s="40" t="n">
        <v>1</v>
      </c>
      <c r="M21" s="41" t="n">
        <f aca="false">L21</f>
        <v>1</v>
      </c>
      <c r="N21" s="40" t="n">
        <f aca="false">IFERROR(COUNTIF(A2_Misiones_BID!$I$14:$I$100,"Sí")/(COUNTIF(A2_Misiones_BID!$G$14:$G$100,"Cumplido")+COUNTIFS(A2_Misiones_BID!$E$14:$E$100,"&lt;"&amp;Fecha_Corte,A2_Misiones_BID!$G$14:$G$100,"&lt;&gt;Cumplido",A2_Misiones_BID!$A$14:$A$100,"CM-*")),"")</f>
        <v>0.625</v>
      </c>
      <c r="O21" s="41" t="n">
        <f aca="false">IF(G21="Nivel",INDEX(H21:L21,Anio_Programa),IF(G21="Anual",INDEX(H21:L21,Anio_Programa)*Frac_Anio,IF(Anio_Programa=1,F21,INDEX(H21:L21,Anio_Programa-1))+(INDEX(H21:L21,Anio_Programa)-IF(Anio_Programa=1,F21,INDEX(H21:L21,Anio_Programa-1)))*Frac_Anio))</f>
        <v>1</v>
      </c>
      <c r="P21" s="41" t="n">
        <f aca="false">IF(N21="","Sin dato",IF(O21=0,"n/a",N21/O21))</f>
        <v>0.625</v>
      </c>
      <c r="Q21" s="17" t="str">
        <f aca="false">IF(NOT(ISNUMBER(P21)),"Sin dato",IF(P21&gt;=Umbral_Verde,"Verde",IF(P21&gt;=Umbral_Amarillo,"Amarillo","Rojo")))</f>
        <v>Rojo</v>
      </c>
      <c r="R21" s="39" t="s">
        <v>77</v>
      </c>
      <c r="S21" s="38" t="s">
        <v>327</v>
      </c>
      <c r="T21" s="38" t="s">
        <v>29</v>
      </c>
    </row>
    <row r="22" customFormat="false" ht="15" hidden="false" customHeight="false" outlineLevel="0" collapsed="false">
      <c r="A22" s="38" t="s">
        <v>328</v>
      </c>
      <c r="B22" s="38" t="s">
        <v>315</v>
      </c>
      <c r="C22" s="39" t="s">
        <v>329</v>
      </c>
      <c r="D22" s="38" t="s">
        <v>162</v>
      </c>
      <c r="E22" s="38" t="s">
        <v>330</v>
      </c>
      <c r="F22" s="40" t="n">
        <v>0.9</v>
      </c>
      <c r="G22" s="38" t="s">
        <v>254</v>
      </c>
      <c r="H22" s="40" t="n">
        <v>0.9</v>
      </c>
      <c r="I22" s="40" t="n">
        <v>0.9</v>
      </c>
      <c r="J22" s="40" t="n">
        <v>0.9</v>
      </c>
      <c r="K22" s="40" t="n">
        <v>0.9</v>
      </c>
      <c r="L22" s="40" t="n">
        <v>0.9</v>
      </c>
      <c r="M22" s="41" t="n">
        <f aca="false">L22</f>
        <v>0.9</v>
      </c>
      <c r="N22" s="40" t="n">
        <v>0.88</v>
      </c>
      <c r="O22" s="41" t="n">
        <f aca="false">IF(G22="Nivel",INDEX(H22:L22,Anio_Programa),IF(G22="Anual",INDEX(H22:L22,Anio_Programa)*Frac_Anio,IF(Anio_Programa=1,F22,INDEX(H22:L22,Anio_Programa-1))+(INDEX(H22:L22,Anio_Programa)-IF(Anio_Programa=1,F22,INDEX(H22:L22,Anio_Programa-1)))*Frac_Anio))</f>
        <v>0.9</v>
      </c>
      <c r="P22" s="41" t="n">
        <f aca="false">IF(N22="","Sin dato",IF(O22=0,"n/a",N22/O22))</f>
        <v>0.977777777777778</v>
      </c>
      <c r="Q22" s="17" t="str">
        <f aca="false">IF(NOT(ISNUMBER(P22)),"Sin dato",IF(P22&gt;=Umbral_Verde,"Verde",IF(P22&gt;=Umbral_Amarillo,"Amarillo","Rojo")))</f>
        <v>Verde</v>
      </c>
      <c r="R22" s="39" t="s">
        <v>331</v>
      </c>
      <c r="S22" s="38" t="s">
        <v>26</v>
      </c>
      <c r="T22" s="38" t="s">
        <v>46</v>
      </c>
    </row>
  </sheetData>
  <autoFilter ref="A4:T22"/>
  <conditionalFormatting sqref="Q5:Q100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"Amarillo"</formula>
    </cfRule>
    <cfRule type="cellIs" priority="4" operator="equal" aboveAverage="0" equalAverage="0" bottom="0" percent="0" rank="0" text="" dxfId="2">
      <formula>"Rojo"</formula>
    </cfRule>
  </conditionalFormatting>
  <dataValidations count="2">
    <dataValidation allowBlank="true" error="Valor no válido" errorStyle="stop" errorTitle="Seleccione un valor de la lista" operator="between" showDropDown="false" showErrorMessage="false" showInputMessage="false" sqref="G5:G100" type="list">
      <formula1>Listas!$U$5:$U$6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T5:T100" type="list">
      <formula1>Listas!$V$5:$V$11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S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5" min="14" style="0" width="8"/>
    <col collapsed="false" customWidth="true" hidden="false" outlineLevel="0" max="16" min="16" style="0" width="9"/>
    <col collapsed="false" customWidth="true" hidden="false" outlineLevel="0" max="17" min="17" style="0" width="26"/>
    <col collapsed="false" customWidth="true" hidden="false" outlineLevel="0" max="18" min="18" style="0" width="10"/>
    <col collapsed="false" customWidth="true" hidden="false" outlineLevel="0" max="19" min="19" style="0" width="36"/>
  </cols>
  <sheetData>
    <row r="1" customFormat="false" ht="24" hidden="false" customHeight="true" outlineLevel="0" collapsed="false">
      <c r="A1" s="1" t="s">
        <v>332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333</v>
      </c>
    </row>
    <row r="4" customFormat="false" ht="48" hidden="false" customHeight="true" outlineLevel="0" collapsed="false">
      <c r="A4" s="14" t="s">
        <v>253</v>
      </c>
      <c r="B4" s="14" t="s">
        <v>256</v>
      </c>
      <c r="C4" s="14" t="s">
        <v>334</v>
      </c>
      <c r="D4" s="14" t="s">
        <v>269</v>
      </c>
      <c r="E4" s="14" t="s">
        <v>335</v>
      </c>
      <c r="F4" s="14" t="s">
        <v>336</v>
      </c>
      <c r="G4" s="14" t="s">
        <v>337</v>
      </c>
      <c r="H4" s="14" t="s">
        <v>338</v>
      </c>
      <c r="I4" s="14" t="s">
        <v>339</v>
      </c>
      <c r="J4" s="14" t="s">
        <v>340</v>
      </c>
      <c r="K4" s="14" t="s">
        <v>341</v>
      </c>
      <c r="L4" s="14" t="s">
        <v>342</v>
      </c>
      <c r="M4" s="14" t="s">
        <v>343</v>
      </c>
      <c r="N4" s="14" t="s">
        <v>344</v>
      </c>
      <c r="O4" s="14" t="s">
        <v>345</v>
      </c>
      <c r="P4" s="14" t="s">
        <v>346</v>
      </c>
      <c r="Q4" s="14" t="s">
        <v>233</v>
      </c>
      <c r="R4" s="14" t="s">
        <v>95</v>
      </c>
      <c r="S4" s="14" t="s">
        <v>347</v>
      </c>
    </row>
    <row r="5" customFormat="false" ht="26.85" hidden="false" customHeight="false" outlineLevel="0" collapsed="false">
      <c r="A5" s="38" t="s">
        <v>348</v>
      </c>
      <c r="B5" s="38" t="s">
        <v>287</v>
      </c>
      <c r="C5" s="39" t="s">
        <v>349</v>
      </c>
      <c r="D5" s="38" t="s">
        <v>46</v>
      </c>
      <c r="E5" s="44" t="n">
        <v>46402</v>
      </c>
      <c r="F5" s="44" t="n">
        <v>46477</v>
      </c>
      <c r="G5" s="45" t="n">
        <v>130000</v>
      </c>
      <c r="H5" s="40" t="n">
        <v>1</v>
      </c>
      <c r="I5" s="41" t="n">
        <f aca="false">IF(Fecha_Corte&lt;=E5,0,IF(Fecha_Corte&gt;=F5,1,(Fecha_Corte-E5)/(F5-E5)))</f>
        <v>1</v>
      </c>
      <c r="J5" s="46" t="n">
        <f aca="false">SUMIFS(F2_Ejecucion!$J$5:$J$500,F2_Ejecucion!$D$5:$D$500,A5)</f>
        <v>124000</v>
      </c>
      <c r="K5" s="41" t="n">
        <f aca="false">IF(G5=0,0,J5/G5)</f>
        <v>0.953846153846154</v>
      </c>
      <c r="L5" s="46" t="n">
        <f aca="false">G5*H5</f>
        <v>130000</v>
      </c>
      <c r="M5" s="46" t="n">
        <f aca="false">G5*I5</f>
        <v>130000</v>
      </c>
      <c r="N5" s="47" t="n">
        <f aca="false">IF(M5=0,"n/a",L5/M5)</f>
        <v>1</v>
      </c>
      <c r="O5" s="47" t="n">
        <f aca="false">IF(J5=0,"n/a",L5/J5)</f>
        <v>1.04838709677419</v>
      </c>
      <c r="P5" s="48" t="n">
        <f aca="false">IF(H5&gt;=1,0,MAX(0,Fecha_Corte-F5))</f>
        <v>0</v>
      </c>
      <c r="Q5" s="49" t="str">
        <f aca="false">IF(H5&gt;=1,"Completada",IF(Fecha_Corte&lt;E5,"No iniciada",IF(Fecha_Corte&gt;F5,"Vencida sin completar",IF(NOT(ISNUMBER(N5)),"En curso",IF(N5&gt;=EVM_Verde,"En curso a tiempo",IF(N5&gt;=EVM_Amarillo,"En curso con retraso leve","En curso con retraso crítico"))))))</f>
        <v>Completada</v>
      </c>
      <c r="R5" s="17" t="str">
        <f aca="false">IF(H5&gt;=1,"Verde",IF(NOT(ISNUMBER(N5)),"Gris",IF(N5&gt;=EVM_Verde,"Verde",IF(N5&gt;=EVM_Amarillo,"Amarillo","Rojo"))))</f>
        <v>Verde</v>
      </c>
      <c r="S5" s="39" t="s">
        <v>350</v>
      </c>
    </row>
    <row r="6" customFormat="false" ht="26.85" hidden="false" customHeight="false" outlineLevel="0" collapsed="false">
      <c r="A6" s="38" t="s">
        <v>351</v>
      </c>
      <c r="B6" s="38" t="s">
        <v>287</v>
      </c>
      <c r="C6" s="39" t="s">
        <v>352</v>
      </c>
      <c r="D6" s="38" t="s">
        <v>46</v>
      </c>
      <c r="E6" s="44" t="n">
        <v>46419</v>
      </c>
      <c r="F6" s="44" t="n">
        <v>46538</v>
      </c>
      <c r="G6" s="45" t="n">
        <v>160000</v>
      </c>
      <c r="H6" s="40" t="n">
        <v>0.9</v>
      </c>
      <c r="I6" s="41" t="n">
        <f aca="false">IF(Fecha_Corte&lt;=E6,0,IF(Fecha_Corte&gt;=F6,1,(Fecha_Corte-E6)/(F6-E6)))</f>
        <v>1</v>
      </c>
      <c r="J6" s="46" t="n">
        <f aca="false">SUMIFS(F2_Ejecucion!$J$5:$J$500,F2_Ejecucion!$D$5:$D$500,A6)</f>
        <v>128000</v>
      </c>
      <c r="K6" s="41" t="n">
        <f aca="false">IF(G6=0,0,J6/G6)</f>
        <v>0.8</v>
      </c>
      <c r="L6" s="46" t="n">
        <f aca="false">G6*H6</f>
        <v>144000</v>
      </c>
      <c r="M6" s="46" t="n">
        <f aca="false">G6*I6</f>
        <v>160000</v>
      </c>
      <c r="N6" s="47" t="n">
        <f aca="false">IF(M6=0,"n/a",L6/M6)</f>
        <v>0.9</v>
      </c>
      <c r="O6" s="47" t="n">
        <f aca="false">IF(J6=0,"n/a",L6/J6)</f>
        <v>1.125</v>
      </c>
      <c r="P6" s="48" t="n">
        <f aca="false">IF(H6&gt;=1,0,MAX(0,Fecha_Corte-F6))</f>
        <v>30</v>
      </c>
      <c r="Q6" s="49" t="str">
        <f aca="false">IF(H6&gt;=1,"Completada",IF(Fecha_Corte&lt;E6,"No iniciada",IF(Fecha_Corte&gt;F6,"Vencida sin completar",IF(NOT(ISNUMBER(N6)),"En curso",IF(N6&gt;=EVM_Verde,"En curso a tiempo",IF(N6&gt;=EVM_Amarillo,"En curso con retraso leve","En curso con retraso crítico"))))))</f>
        <v>Vencida sin completar</v>
      </c>
      <c r="R6" s="17" t="str">
        <f aca="false">IF(H6&gt;=1,"Verde",IF(NOT(ISNUMBER(N6)),"Gris",IF(N6&gt;=EVM_Verde,"Verde",IF(N6&gt;=EVM_Amarillo,"Amarillo","Rojo"))))</f>
        <v>Amarillo</v>
      </c>
      <c r="S6" s="39" t="s">
        <v>353</v>
      </c>
    </row>
    <row r="7" customFormat="false" ht="15" hidden="false" customHeight="false" outlineLevel="0" collapsed="false">
      <c r="A7" s="38" t="s">
        <v>354</v>
      </c>
      <c r="B7" s="38" t="s">
        <v>287</v>
      </c>
      <c r="C7" s="39" t="s">
        <v>355</v>
      </c>
      <c r="D7" s="38" t="s">
        <v>276</v>
      </c>
      <c r="E7" s="44" t="n">
        <v>46447</v>
      </c>
      <c r="F7" s="44" t="n">
        <v>46630</v>
      </c>
      <c r="G7" s="45" t="n">
        <v>310000</v>
      </c>
      <c r="H7" s="40" t="n">
        <v>0.58</v>
      </c>
      <c r="I7" s="41" t="n">
        <f aca="false">IF(Fecha_Corte&lt;=E7,0,IF(Fecha_Corte&gt;=F7,1,(Fecha_Corte-E7)/(F7-E7)))</f>
        <v>0.66120218579235</v>
      </c>
      <c r="J7" s="46" t="n">
        <f aca="false">SUMIFS(F2_Ejecucion!$J$5:$J$500,F2_Ejecucion!$D$5:$D$500,A7)</f>
        <v>162500</v>
      </c>
      <c r="K7" s="41" t="n">
        <f aca="false">IF(G7=0,0,J7/G7)</f>
        <v>0.524193548387097</v>
      </c>
      <c r="L7" s="46" t="n">
        <f aca="false">G7*H7</f>
        <v>179800</v>
      </c>
      <c r="M7" s="46" t="n">
        <f aca="false">G7*I7</f>
        <v>204972.677595628</v>
      </c>
      <c r="N7" s="47" t="n">
        <f aca="false">IF(M7=0,"n/a",L7/M7)</f>
        <v>0.877190082644628</v>
      </c>
      <c r="O7" s="47" t="n">
        <f aca="false">IF(J7=0,"n/a",L7/J7)</f>
        <v>1.10646153846154</v>
      </c>
      <c r="P7" s="48" t="n">
        <f aca="false">IF(H7&gt;=1,0,MAX(0,Fecha_Corte-F7))</f>
        <v>0</v>
      </c>
      <c r="Q7" s="49" t="str">
        <f aca="false">IF(H7&gt;=1,"Completada",IF(Fecha_Corte&lt;E7,"No iniciada",IF(Fecha_Corte&gt;F7,"Vencida sin completar",IF(NOT(ISNUMBER(N7)),"En curso",IF(N7&gt;=EVM_Verde,"En curso a tiempo",IF(N7&gt;=EVM_Amarillo,"En curso con retraso leve","En curso con retraso crítico"))))))</f>
        <v>En curso con retraso leve</v>
      </c>
      <c r="R7" s="17" t="str">
        <f aca="false">IF(H7&gt;=1,"Verde",IF(NOT(ISNUMBER(N7)),"Gris",IF(N7&gt;=EVM_Verde,"Verde",IF(N7&gt;=EVM_Amarillo,"Amarillo","Rojo"))))</f>
        <v>Amarillo</v>
      </c>
      <c r="S7" s="39" t="s">
        <v>356</v>
      </c>
    </row>
    <row r="8" customFormat="false" ht="15" hidden="false" customHeight="false" outlineLevel="0" collapsed="false">
      <c r="A8" s="38" t="s">
        <v>357</v>
      </c>
      <c r="B8" s="38" t="s">
        <v>287</v>
      </c>
      <c r="C8" s="39" t="s">
        <v>358</v>
      </c>
      <c r="D8" s="38" t="s">
        <v>276</v>
      </c>
      <c r="E8" s="44" t="n">
        <v>46433</v>
      </c>
      <c r="F8" s="44" t="n">
        <v>46583</v>
      </c>
      <c r="G8" s="45" t="n">
        <v>290000</v>
      </c>
      <c r="H8" s="40" t="n">
        <v>0.78</v>
      </c>
      <c r="I8" s="41" t="n">
        <f aca="false">IF(Fecha_Corte&lt;=E8,0,IF(Fecha_Corte&gt;=F8,1,(Fecha_Corte-E8)/(F8-E8)))</f>
        <v>0.9</v>
      </c>
      <c r="J8" s="46" t="n">
        <f aca="false">SUMIFS(F2_Ejecucion!$J$5:$J$500,F2_Ejecucion!$D$5:$D$500,A8)</f>
        <v>199100</v>
      </c>
      <c r="K8" s="41" t="n">
        <f aca="false">IF(G8=0,0,J8/G8)</f>
        <v>0.686551724137931</v>
      </c>
      <c r="L8" s="46" t="n">
        <f aca="false">G8*H8</f>
        <v>226200</v>
      </c>
      <c r="M8" s="46" t="n">
        <f aca="false">G8*I8</f>
        <v>261000</v>
      </c>
      <c r="N8" s="47" t="n">
        <f aca="false">IF(M8=0,"n/a",L8/M8)</f>
        <v>0.866666666666667</v>
      </c>
      <c r="O8" s="47" t="n">
        <f aca="false">IF(J8=0,"n/a",L8/J8)</f>
        <v>1.13611250627825</v>
      </c>
      <c r="P8" s="48" t="n">
        <f aca="false">IF(H8&gt;=1,0,MAX(0,Fecha_Corte-F8))</f>
        <v>0</v>
      </c>
      <c r="Q8" s="49" t="str">
        <f aca="false">IF(H8&gt;=1,"Completada",IF(Fecha_Corte&lt;E8,"No iniciada",IF(Fecha_Corte&gt;F8,"Vencida sin completar",IF(NOT(ISNUMBER(N8)),"En curso",IF(N8&gt;=EVM_Verde,"En curso a tiempo",IF(N8&gt;=EVM_Amarillo,"En curso con retraso leve","En curso con retraso crítico"))))))</f>
        <v>En curso con retraso leve</v>
      </c>
      <c r="R8" s="17" t="str">
        <f aca="false">IF(H8&gt;=1,"Verde",IF(NOT(ISNUMBER(N8)),"Gris",IF(N8&gt;=EVM_Verde,"Verde",IF(N8&gt;=EVM_Amarillo,"Amarillo","Rojo"))))</f>
        <v>Amarillo</v>
      </c>
      <c r="S8" s="39" t="s">
        <v>359</v>
      </c>
    </row>
    <row r="9" customFormat="false" ht="15" hidden="false" customHeight="false" outlineLevel="0" collapsed="false">
      <c r="A9" s="38" t="s">
        <v>360</v>
      </c>
      <c r="B9" s="38" t="s">
        <v>287</v>
      </c>
      <c r="C9" s="39" t="s">
        <v>361</v>
      </c>
      <c r="D9" s="38" t="s">
        <v>46</v>
      </c>
      <c r="E9" s="44" t="n">
        <v>46539</v>
      </c>
      <c r="F9" s="44" t="n">
        <v>46721</v>
      </c>
      <c r="G9" s="45" t="n">
        <v>140000</v>
      </c>
      <c r="H9" s="40" t="n">
        <v>0.14</v>
      </c>
      <c r="I9" s="41" t="n">
        <f aca="false">IF(Fecha_Corte&lt;=E9,0,IF(Fecha_Corte&gt;=F9,1,(Fecha_Corte-E9)/(F9-E9)))</f>
        <v>0.159340659340659</v>
      </c>
      <c r="J9" s="46" t="n">
        <f aca="false">SUMIFS(F2_Ejecucion!$J$5:$J$500,F2_Ejecucion!$D$5:$D$500,A9)</f>
        <v>14000</v>
      </c>
      <c r="K9" s="41" t="n">
        <f aca="false">IF(G9=0,0,J9/G9)</f>
        <v>0.1</v>
      </c>
      <c r="L9" s="46" t="n">
        <f aca="false">G9*H9</f>
        <v>19600</v>
      </c>
      <c r="M9" s="46" t="n">
        <f aca="false">G9*I9</f>
        <v>22307.6923076923</v>
      </c>
      <c r="N9" s="47" t="n">
        <f aca="false">IF(M9=0,"n/a",L9/M9)</f>
        <v>0.878620689655173</v>
      </c>
      <c r="O9" s="47" t="n">
        <f aca="false">IF(J9=0,"n/a",L9/J9)</f>
        <v>1.4</v>
      </c>
      <c r="P9" s="48" t="n">
        <f aca="false">IF(H9&gt;=1,0,MAX(0,Fecha_Corte-F9))</f>
        <v>0</v>
      </c>
      <c r="Q9" s="49" t="str">
        <f aca="false">IF(H9&gt;=1,"Completada",IF(Fecha_Corte&lt;E9,"No iniciada",IF(Fecha_Corte&gt;F9,"Vencida sin completar",IF(NOT(ISNUMBER(N9)),"En curso",IF(N9&gt;=EVM_Verde,"En curso a tiempo",IF(N9&gt;=EVM_Amarillo,"En curso con retraso leve","En curso con retraso crítico"))))))</f>
        <v>En curso con retraso leve</v>
      </c>
      <c r="R9" s="17" t="str">
        <f aca="false">IF(H9&gt;=1,"Verde",IF(NOT(ISNUMBER(N9)),"Gris",IF(N9&gt;=EVM_Verde,"Verde",IF(N9&gt;=EVM_Amarillo,"Amarillo","Rojo"))))</f>
        <v>Amarillo</v>
      </c>
      <c r="S9" s="39" t="s">
        <v>362</v>
      </c>
    </row>
    <row r="10" customFormat="false" ht="15" hidden="false" customHeight="false" outlineLevel="0" collapsed="false">
      <c r="A10" s="38" t="s">
        <v>363</v>
      </c>
      <c r="B10" s="38" t="s">
        <v>273</v>
      </c>
      <c r="C10" s="39" t="s">
        <v>364</v>
      </c>
      <c r="D10" s="38" t="s">
        <v>46</v>
      </c>
      <c r="E10" s="44" t="n">
        <v>46402</v>
      </c>
      <c r="F10" s="44" t="n">
        <v>46461</v>
      </c>
      <c r="G10" s="45" t="n">
        <v>70000</v>
      </c>
      <c r="H10" s="40" t="n">
        <v>1</v>
      </c>
      <c r="I10" s="41" t="n">
        <f aca="false">IF(Fecha_Corte&lt;=E10,0,IF(Fecha_Corte&gt;=F10,1,(Fecha_Corte-E10)/(F10-E10)))</f>
        <v>1</v>
      </c>
      <c r="J10" s="46" t="n">
        <f aca="false">SUMIFS(F2_Ejecucion!$J$5:$J$500,F2_Ejecucion!$D$5:$D$500,A10)</f>
        <v>63800</v>
      </c>
      <c r="K10" s="41" t="n">
        <f aca="false">IF(G10=0,0,J10/G10)</f>
        <v>0.911428571428572</v>
      </c>
      <c r="L10" s="46" t="n">
        <f aca="false">G10*H10</f>
        <v>70000</v>
      </c>
      <c r="M10" s="46" t="n">
        <f aca="false">G10*I10</f>
        <v>70000</v>
      </c>
      <c r="N10" s="47" t="n">
        <f aca="false">IF(M10=0,"n/a",L10/M10)</f>
        <v>1</v>
      </c>
      <c r="O10" s="47" t="n">
        <f aca="false">IF(J10=0,"n/a",L10/J10)</f>
        <v>1.09717868338558</v>
      </c>
      <c r="P10" s="48" t="n">
        <f aca="false">IF(H10&gt;=1,0,MAX(0,Fecha_Corte-F10))</f>
        <v>0</v>
      </c>
      <c r="Q10" s="49" t="str">
        <f aca="false">IF(H10&gt;=1,"Completada",IF(Fecha_Corte&lt;E10,"No iniciada",IF(Fecha_Corte&gt;F10,"Vencida sin completar",IF(NOT(ISNUMBER(N10)),"En curso",IF(N10&gt;=EVM_Verde,"En curso a tiempo",IF(N10&gt;=EVM_Amarillo,"En curso con retraso leve","En curso con retraso crítico"))))))</f>
        <v>Completada</v>
      </c>
      <c r="R10" s="17" t="str">
        <f aca="false">IF(H10&gt;=1,"Verde",IF(NOT(ISNUMBER(N10)),"Gris",IF(N10&gt;=EVM_Verde,"Verde",IF(N10&gt;=EVM_Amarillo,"Amarillo","Rojo"))))</f>
        <v>Verde</v>
      </c>
      <c r="S10" s="39" t="s">
        <v>365</v>
      </c>
    </row>
    <row r="11" customFormat="false" ht="15" hidden="false" customHeight="false" outlineLevel="0" collapsed="false">
      <c r="A11" s="38" t="s">
        <v>366</v>
      </c>
      <c r="B11" s="38" t="s">
        <v>273</v>
      </c>
      <c r="C11" s="39" t="s">
        <v>367</v>
      </c>
      <c r="D11" s="38" t="s">
        <v>46</v>
      </c>
      <c r="E11" s="44" t="n">
        <v>46447</v>
      </c>
      <c r="F11" s="44" t="n">
        <v>46553</v>
      </c>
      <c r="G11" s="45" t="n">
        <v>180000</v>
      </c>
      <c r="H11" s="40" t="n">
        <v>0.85</v>
      </c>
      <c r="I11" s="41" t="n">
        <f aca="false">IF(Fecha_Corte&lt;=E11,0,IF(Fecha_Corte&gt;=F11,1,(Fecha_Corte-E11)/(F11-E11)))</f>
        <v>1</v>
      </c>
      <c r="J11" s="46" t="n">
        <f aca="false">SUMIFS(F2_Ejecucion!$J$5:$J$500,F2_Ejecucion!$D$5:$D$500,A11)</f>
        <v>150000</v>
      </c>
      <c r="K11" s="41" t="n">
        <f aca="false">IF(G11=0,0,J11/G11)</f>
        <v>0.833333333333333</v>
      </c>
      <c r="L11" s="46" t="n">
        <f aca="false">G11*H11</f>
        <v>153000</v>
      </c>
      <c r="M11" s="46" t="n">
        <f aca="false">G11*I11</f>
        <v>180000</v>
      </c>
      <c r="N11" s="47" t="n">
        <f aca="false">IF(M11=0,"n/a",L11/M11)</f>
        <v>0.85</v>
      </c>
      <c r="O11" s="47" t="n">
        <f aca="false">IF(J11=0,"n/a",L11/J11)</f>
        <v>1.02</v>
      </c>
      <c r="P11" s="48" t="n">
        <f aca="false">IF(H11&gt;=1,0,MAX(0,Fecha_Corte-F11))</f>
        <v>15</v>
      </c>
      <c r="Q11" s="49" t="str">
        <f aca="false">IF(H11&gt;=1,"Completada",IF(Fecha_Corte&lt;E11,"No iniciada",IF(Fecha_Corte&gt;F11,"Vencida sin completar",IF(NOT(ISNUMBER(N11)),"En curso",IF(N11&gt;=EVM_Verde,"En curso a tiempo",IF(N11&gt;=EVM_Amarillo,"En curso con retraso leve","En curso con retraso crítico"))))))</f>
        <v>Vencida sin completar</v>
      </c>
      <c r="R11" s="17" t="str">
        <f aca="false">IF(H11&gt;=1,"Verde",IF(NOT(ISNUMBER(N11)),"Gris",IF(N11&gt;=EVM_Verde,"Verde",IF(N11&gt;=EVM_Amarillo,"Amarillo","Rojo"))))</f>
        <v>Amarillo</v>
      </c>
      <c r="S11" s="39" t="s">
        <v>368</v>
      </c>
    </row>
    <row r="12" customFormat="false" ht="15" hidden="false" customHeight="false" outlineLevel="0" collapsed="false">
      <c r="A12" s="38" t="s">
        <v>369</v>
      </c>
      <c r="B12" s="38" t="s">
        <v>273</v>
      </c>
      <c r="C12" s="39" t="s">
        <v>370</v>
      </c>
      <c r="D12" s="38" t="s">
        <v>50</v>
      </c>
      <c r="E12" s="44" t="n">
        <v>46478</v>
      </c>
      <c r="F12" s="44" t="n">
        <v>46736</v>
      </c>
      <c r="G12" s="45" t="n">
        <v>900000</v>
      </c>
      <c r="H12" s="40" t="n">
        <v>0.4</v>
      </c>
      <c r="I12" s="41" t="n">
        <f aca="false">IF(Fecha_Corte&lt;=E12,0,IF(Fecha_Corte&gt;=F12,1,(Fecha_Corte-E12)/(F12-E12)))</f>
        <v>0.348837209302326</v>
      </c>
      <c r="J12" s="46" t="n">
        <f aca="false">SUMIFS(F2_Ejecucion!$J$5:$J$500,F2_Ejecucion!$D$5:$D$500,A12)</f>
        <v>330000</v>
      </c>
      <c r="K12" s="41" t="n">
        <f aca="false">IF(G12=0,0,J12/G12)</f>
        <v>0.366666666666667</v>
      </c>
      <c r="L12" s="46" t="n">
        <f aca="false">G12*H12</f>
        <v>360000</v>
      </c>
      <c r="M12" s="46" t="n">
        <f aca="false">G12*I12</f>
        <v>313953.488372093</v>
      </c>
      <c r="N12" s="47" t="n">
        <f aca="false">IF(M12=0,"n/a",L12/M12)</f>
        <v>1.14666666666667</v>
      </c>
      <c r="O12" s="47" t="n">
        <f aca="false">IF(J12=0,"n/a",L12/J12)</f>
        <v>1.09090909090909</v>
      </c>
      <c r="P12" s="48" t="n">
        <f aca="false">IF(H12&gt;=1,0,MAX(0,Fecha_Corte-F12))</f>
        <v>0</v>
      </c>
      <c r="Q12" s="49" t="str">
        <f aca="false">IF(H12&gt;=1,"Completada",IF(Fecha_Corte&lt;E12,"No iniciada",IF(Fecha_Corte&gt;F12,"Vencida sin completar",IF(NOT(ISNUMBER(N12)),"En curso",IF(N12&gt;=EVM_Verde,"En curso a tiempo",IF(N12&gt;=EVM_Amarillo,"En curso con retraso leve","En curso con retraso crítico"))))))</f>
        <v>En curso a tiempo</v>
      </c>
      <c r="R12" s="17" t="str">
        <f aca="false">IF(H12&gt;=1,"Verde",IF(NOT(ISNUMBER(N12)),"Gris",IF(N12&gt;=EVM_Verde,"Verde",IF(N12&gt;=EVM_Amarillo,"Amarillo","Rojo"))))</f>
        <v>Verde</v>
      </c>
      <c r="S12" s="39" t="s">
        <v>371</v>
      </c>
    </row>
    <row r="13" customFormat="false" ht="15" hidden="false" customHeight="false" outlineLevel="0" collapsed="false">
      <c r="A13" s="38" t="s">
        <v>372</v>
      </c>
      <c r="B13" s="38" t="s">
        <v>273</v>
      </c>
      <c r="C13" s="39" t="s">
        <v>373</v>
      </c>
      <c r="D13" s="38" t="s">
        <v>46</v>
      </c>
      <c r="E13" s="44" t="n">
        <v>46492</v>
      </c>
      <c r="F13" s="44" t="n">
        <v>46736</v>
      </c>
      <c r="G13" s="45" t="n">
        <v>420000</v>
      </c>
      <c r="H13" s="40" t="n">
        <v>0.3</v>
      </c>
      <c r="I13" s="41" t="n">
        <f aca="false">IF(Fecha_Corte&lt;=E13,0,IF(Fecha_Corte&gt;=F13,1,(Fecha_Corte-E13)/(F13-E13)))</f>
        <v>0.311475409836066</v>
      </c>
      <c r="J13" s="46" t="n">
        <f aca="false">SUMIFS(F2_Ejecucion!$J$5:$J$500,F2_Ejecucion!$D$5:$D$500,A13)</f>
        <v>138500</v>
      </c>
      <c r="K13" s="41" t="n">
        <f aca="false">IF(G13=0,0,J13/G13)</f>
        <v>0.329761904761905</v>
      </c>
      <c r="L13" s="46" t="n">
        <f aca="false">G13*H13</f>
        <v>126000</v>
      </c>
      <c r="M13" s="46" t="n">
        <f aca="false">G13*I13</f>
        <v>130819.672131148</v>
      </c>
      <c r="N13" s="47" t="n">
        <f aca="false">IF(M13=0,"n/a",L13/M13)</f>
        <v>0.963157894736842</v>
      </c>
      <c r="O13" s="47" t="n">
        <f aca="false">IF(J13=0,"n/a",L13/J13)</f>
        <v>0.909747292418773</v>
      </c>
      <c r="P13" s="48" t="n">
        <f aca="false">IF(H13&gt;=1,0,MAX(0,Fecha_Corte-F13))</f>
        <v>0</v>
      </c>
      <c r="Q13" s="49" t="str">
        <f aca="false">IF(H13&gt;=1,"Completada",IF(Fecha_Corte&lt;E13,"No iniciada",IF(Fecha_Corte&gt;F13,"Vencida sin completar",IF(NOT(ISNUMBER(N13)),"En curso",IF(N13&gt;=EVM_Verde,"En curso a tiempo",IF(N13&gt;=EVM_Amarillo,"En curso con retraso leve","En curso con retraso crítico"))))))</f>
        <v>En curso a tiempo</v>
      </c>
      <c r="R13" s="17" t="str">
        <f aca="false">IF(H13&gt;=1,"Verde",IF(NOT(ISNUMBER(N13)),"Gris",IF(N13&gt;=EVM_Verde,"Verde",IF(N13&gt;=EVM_Amarillo,"Amarillo","Rojo"))))</f>
        <v>Verde</v>
      </c>
      <c r="S13" s="39" t="s">
        <v>374</v>
      </c>
    </row>
    <row r="14" customFormat="false" ht="26.85" hidden="false" customHeight="false" outlineLevel="0" collapsed="false">
      <c r="A14" s="38" t="s">
        <v>375</v>
      </c>
      <c r="B14" s="38" t="s">
        <v>273</v>
      </c>
      <c r="C14" s="39" t="s">
        <v>376</v>
      </c>
      <c r="D14" s="38" t="s">
        <v>46</v>
      </c>
      <c r="E14" s="44" t="n">
        <v>46508</v>
      </c>
      <c r="F14" s="44" t="n">
        <v>46736</v>
      </c>
      <c r="G14" s="45" t="n">
        <v>150000</v>
      </c>
      <c r="H14" s="40" t="n">
        <v>0.24</v>
      </c>
      <c r="I14" s="41" t="n">
        <f aca="false">IF(Fecha_Corte&lt;=E14,0,IF(Fecha_Corte&gt;=F14,1,(Fecha_Corte-E14)/(F14-E14)))</f>
        <v>0.263157894736842</v>
      </c>
      <c r="J14" s="46" t="n">
        <f aca="false">SUMIFS(F2_Ejecucion!$J$5:$J$500,F2_Ejecucion!$D$5:$D$500,A14)</f>
        <v>34000</v>
      </c>
      <c r="K14" s="41" t="n">
        <f aca="false">IF(G14=0,0,J14/G14)</f>
        <v>0.226666666666667</v>
      </c>
      <c r="L14" s="46" t="n">
        <f aca="false">G14*H14</f>
        <v>36000</v>
      </c>
      <c r="M14" s="46" t="n">
        <f aca="false">G14*I14</f>
        <v>39473.6842105263</v>
      </c>
      <c r="N14" s="47" t="n">
        <f aca="false">IF(M14=0,"n/a",L14/M14)</f>
        <v>0.912</v>
      </c>
      <c r="O14" s="47" t="n">
        <f aca="false">IF(J14=0,"n/a",L14/J14)</f>
        <v>1.05882352941176</v>
      </c>
      <c r="P14" s="48" t="n">
        <f aca="false">IF(H14&gt;=1,0,MAX(0,Fecha_Corte-F14))</f>
        <v>0</v>
      </c>
      <c r="Q14" s="49" t="str">
        <f aca="false">IF(H14&gt;=1,"Completada",IF(Fecha_Corte&lt;E14,"No iniciada",IF(Fecha_Corte&gt;F14,"Vencida sin completar",IF(NOT(ISNUMBER(N14)),"En curso",IF(N14&gt;=EVM_Verde,"En curso a tiempo",IF(N14&gt;=EVM_Amarillo,"En curso con retraso leve","En curso con retraso crítico"))))))</f>
        <v>En curso con retraso leve</v>
      </c>
      <c r="R14" s="17" t="str">
        <f aca="false">IF(H14&gt;=1,"Verde",IF(NOT(ISNUMBER(N14)),"Gris",IF(N14&gt;=EVM_Verde,"Verde",IF(N14&gt;=EVM_Amarillo,"Amarillo","Rojo"))))</f>
        <v>Amarillo</v>
      </c>
      <c r="S14" s="39" t="s">
        <v>377</v>
      </c>
    </row>
    <row r="15" customFormat="false" ht="26.85" hidden="false" customHeight="false" outlineLevel="0" collapsed="false">
      <c r="A15" s="38" t="s">
        <v>378</v>
      </c>
      <c r="B15" s="38" t="s">
        <v>273</v>
      </c>
      <c r="C15" s="39" t="s">
        <v>379</v>
      </c>
      <c r="D15" s="38" t="s">
        <v>46</v>
      </c>
      <c r="E15" s="44" t="n">
        <v>46508</v>
      </c>
      <c r="F15" s="44" t="n">
        <v>46736</v>
      </c>
      <c r="G15" s="45" t="n">
        <v>80000</v>
      </c>
      <c r="H15" s="40" t="n">
        <v>0.25</v>
      </c>
      <c r="I15" s="41" t="n">
        <f aca="false">IF(Fecha_Corte&lt;=E15,0,IF(Fecha_Corte&gt;=F15,1,(Fecha_Corte-E15)/(F15-E15)))</f>
        <v>0.263157894736842</v>
      </c>
      <c r="J15" s="46" t="n">
        <f aca="false">SUMIFS(F2_Ejecucion!$J$5:$J$500,F2_Ejecucion!$D$5:$D$500,A15)</f>
        <v>19000</v>
      </c>
      <c r="K15" s="41" t="n">
        <f aca="false">IF(G15=0,0,J15/G15)</f>
        <v>0.2375</v>
      </c>
      <c r="L15" s="46" t="n">
        <f aca="false">G15*H15</f>
        <v>20000</v>
      </c>
      <c r="M15" s="46" t="n">
        <f aca="false">G15*I15</f>
        <v>21052.6315789474</v>
      </c>
      <c r="N15" s="47" t="n">
        <f aca="false">IF(M15=0,"n/a",L15/M15)</f>
        <v>0.95</v>
      </c>
      <c r="O15" s="47" t="n">
        <f aca="false">IF(J15=0,"n/a",L15/J15)</f>
        <v>1.05263157894737</v>
      </c>
      <c r="P15" s="48" t="n">
        <f aca="false">IF(H15&gt;=1,0,MAX(0,Fecha_Corte-F15))</f>
        <v>0</v>
      </c>
      <c r="Q15" s="49" t="str">
        <f aca="false">IF(H15&gt;=1,"Completada",IF(Fecha_Corte&lt;E15,"No iniciada",IF(Fecha_Corte&gt;F15,"Vencida sin completar",IF(NOT(ISNUMBER(N15)),"En curso",IF(N15&gt;=EVM_Verde,"En curso a tiempo",IF(N15&gt;=EVM_Amarillo,"En curso con retraso leve","En curso con retraso crítico"))))))</f>
        <v>En curso a tiempo</v>
      </c>
      <c r="R15" s="17" t="str">
        <f aca="false">IF(H15&gt;=1,"Verde",IF(NOT(ISNUMBER(N15)),"Gris",IF(N15&gt;=EVM_Verde,"Verde",IF(N15&gt;=EVM_Amarillo,"Amarillo","Rojo"))))</f>
        <v>Verde</v>
      </c>
      <c r="S15" s="39" t="s">
        <v>380</v>
      </c>
    </row>
    <row r="16" customFormat="false" ht="15" hidden="false" customHeight="false" outlineLevel="0" collapsed="false">
      <c r="A16" s="38" t="s">
        <v>381</v>
      </c>
      <c r="B16" s="38" t="s">
        <v>282</v>
      </c>
      <c r="C16" s="39" t="s">
        <v>382</v>
      </c>
      <c r="D16" s="38" t="s">
        <v>276</v>
      </c>
      <c r="E16" s="44" t="n">
        <v>46419</v>
      </c>
      <c r="F16" s="44" t="n">
        <v>46538</v>
      </c>
      <c r="G16" s="45" t="n">
        <v>195000</v>
      </c>
      <c r="H16" s="40" t="n">
        <v>1</v>
      </c>
      <c r="I16" s="41" t="n">
        <f aca="false">IF(Fecha_Corte&lt;=E16,0,IF(Fecha_Corte&gt;=F16,1,(Fecha_Corte-E16)/(F16-E16)))</f>
        <v>1</v>
      </c>
      <c r="J16" s="46" t="n">
        <f aca="false">SUMIFS(F2_Ejecucion!$J$5:$J$500,F2_Ejecucion!$D$5:$D$500,A16)</f>
        <v>189000</v>
      </c>
      <c r="K16" s="41" t="n">
        <f aca="false">IF(G16=0,0,J16/G16)</f>
        <v>0.969230769230769</v>
      </c>
      <c r="L16" s="46" t="n">
        <f aca="false">G16*H16</f>
        <v>195000</v>
      </c>
      <c r="M16" s="46" t="n">
        <f aca="false">G16*I16</f>
        <v>195000</v>
      </c>
      <c r="N16" s="47" t="n">
        <f aca="false">IF(M16=0,"n/a",L16/M16)</f>
        <v>1</v>
      </c>
      <c r="O16" s="47" t="n">
        <f aca="false">IF(J16=0,"n/a",L16/J16)</f>
        <v>1.03174603174603</v>
      </c>
      <c r="P16" s="48" t="n">
        <f aca="false">IF(H16&gt;=1,0,MAX(0,Fecha_Corte-F16))</f>
        <v>0</v>
      </c>
      <c r="Q16" s="49" t="str">
        <f aca="false">IF(H16&gt;=1,"Completada",IF(Fecha_Corte&lt;E16,"No iniciada",IF(Fecha_Corte&gt;F16,"Vencida sin completar",IF(NOT(ISNUMBER(N16)),"En curso",IF(N16&gt;=EVM_Verde,"En curso a tiempo",IF(N16&gt;=EVM_Amarillo,"En curso con retraso leve","En curso con retraso crítico"))))))</f>
        <v>Completada</v>
      </c>
      <c r="R16" s="17" t="str">
        <f aca="false">IF(H16&gt;=1,"Verde",IF(NOT(ISNUMBER(N16)),"Gris",IF(N16&gt;=EVM_Verde,"Verde",IF(N16&gt;=EVM_Amarillo,"Amarillo","Rojo"))))</f>
        <v>Verde</v>
      </c>
      <c r="S16" s="39" t="s">
        <v>383</v>
      </c>
    </row>
    <row r="17" customFormat="false" ht="15" hidden="false" customHeight="false" outlineLevel="0" collapsed="false">
      <c r="A17" s="38" t="s">
        <v>384</v>
      </c>
      <c r="B17" s="38" t="s">
        <v>282</v>
      </c>
      <c r="C17" s="39" t="s">
        <v>385</v>
      </c>
      <c r="D17" s="38" t="s">
        <v>46</v>
      </c>
      <c r="E17" s="44" t="n">
        <v>46478</v>
      </c>
      <c r="F17" s="44" t="n">
        <v>46691</v>
      </c>
      <c r="G17" s="45" t="n">
        <v>95000</v>
      </c>
      <c r="H17" s="40" t="n">
        <v>0.38</v>
      </c>
      <c r="I17" s="41" t="n">
        <f aca="false">IF(Fecha_Corte&lt;=E17,0,IF(Fecha_Corte&gt;=F17,1,(Fecha_Corte-E17)/(F17-E17)))</f>
        <v>0.422535211267606</v>
      </c>
      <c r="J17" s="46" t="n">
        <f aca="false">SUMIFS(F2_Ejecucion!$J$5:$J$500,F2_Ejecucion!$D$5:$D$500,A17)</f>
        <v>39200</v>
      </c>
      <c r="K17" s="41" t="n">
        <f aca="false">IF(G17=0,0,J17/G17)</f>
        <v>0.412631578947368</v>
      </c>
      <c r="L17" s="46" t="n">
        <f aca="false">G17*H17</f>
        <v>36100</v>
      </c>
      <c r="M17" s="46" t="n">
        <f aca="false">G17*I17</f>
        <v>40140.8450704225</v>
      </c>
      <c r="N17" s="47" t="n">
        <f aca="false">IF(M17=0,"n/a",L17/M17)</f>
        <v>0.899333333333333</v>
      </c>
      <c r="O17" s="47" t="n">
        <f aca="false">IF(J17=0,"n/a",L17/J17)</f>
        <v>0.920918367346939</v>
      </c>
      <c r="P17" s="48" t="n">
        <f aca="false">IF(H17&gt;=1,0,MAX(0,Fecha_Corte-F17))</f>
        <v>0</v>
      </c>
      <c r="Q17" s="49" t="str">
        <f aca="false">IF(H17&gt;=1,"Completada",IF(Fecha_Corte&lt;E17,"No iniciada",IF(Fecha_Corte&gt;F17,"Vencida sin completar",IF(NOT(ISNUMBER(N17)),"En curso",IF(N17&gt;=EVM_Verde,"En curso a tiempo",IF(N17&gt;=EVM_Amarillo,"En curso con retraso leve","En curso con retraso crítico"))))))</f>
        <v>En curso con retraso leve</v>
      </c>
      <c r="R17" s="17" t="str">
        <f aca="false">IF(H17&gt;=1,"Verde",IF(NOT(ISNUMBER(N17)),"Gris",IF(N17&gt;=EVM_Verde,"Verde",IF(N17&gt;=EVM_Amarillo,"Amarillo","Rojo"))))</f>
        <v>Amarillo</v>
      </c>
      <c r="S17" s="39" t="s">
        <v>306</v>
      </c>
    </row>
    <row r="18" customFormat="false" ht="15" hidden="false" customHeight="false" outlineLevel="0" collapsed="false">
      <c r="A18" s="38" t="s">
        <v>386</v>
      </c>
      <c r="B18" s="38" t="s">
        <v>282</v>
      </c>
      <c r="C18" s="39" t="s">
        <v>387</v>
      </c>
      <c r="D18" s="38" t="s">
        <v>46</v>
      </c>
      <c r="E18" s="44" t="n">
        <v>46508</v>
      </c>
      <c r="F18" s="44" t="n">
        <v>46660</v>
      </c>
      <c r="G18" s="45" t="n">
        <v>120000</v>
      </c>
      <c r="H18" s="40" t="n">
        <v>0.35</v>
      </c>
      <c r="I18" s="41" t="n">
        <f aca="false">IF(Fecha_Corte&lt;=E18,0,IF(Fecha_Corte&gt;=F18,1,(Fecha_Corte-E18)/(F18-E18)))</f>
        <v>0.394736842105263</v>
      </c>
      <c r="J18" s="46" t="n">
        <f aca="false">SUMIFS(F2_Ejecucion!$J$5:$J$500,F2_Ejecucion!$D$5:$D$500,A18)</f>
        <v>40000</v>
      </c>
      <c r="K18" s="41" t="n">
        <f aca="false">IF(G18=0,0,J18/G18)</f>
        <v>0.333333333333333</v>
      </c>
      <c r="L18" s="46" t="n">
        <f aca="false">G18*H18</f>
        <v>42000</v>
      </c>
      <c r="M18" s="46" t="n">
        <f aca="false">G18*I18</f>
        <v>47368.4210526316</v>
      </c>
      <c r="N18" s="47" t="n">
        <f aca="false">IF(M18=0,"n/a",L18/M18)</f>
        <v>0.886666666666667</v>
      </c>
      <c r="O18" s="47" t="n">
        <f aca="false">IF(J18=0,"n/a",L18/J18)</f>
        <v>1.05</v>
      </c>
      <c r="P18" s="48" t="n">
        <f aca="false">IF(H18&gt;=1,0,MAX(0,Fecha_Corte-F18))</f>
        <v>0</v>
      </c>
      <c r="Q18" s="49" t="str">
        <f aca="false">IF(H18&gt;=1,"Completada",IF(Fecha_Corte&lt;E18,"No iniciada",IF(Fecha_Corte&gt;F18,"Vencida sin completar",IF(NOT(ISNUMBER(N18)),"En curso",IF(N18&gt;=EVM_Verde,"En curso a tiempo",IF(N18&gt;=EVM_Amarillo,"En curso con retraso leve","En curso con retraso crítico"))))))</f>
        <v>En curso con retraso leve</v>
      </c>
      <c r="R18" s="17" t="str">
        <f aca="false">IF(H18&gt;=1,"Verde",IF(NOT(ISNUMBER(N18)),"Gris",IF(N18&gt;=EVM_Verde,"Verde",IF(N18&gt;=EVM_Amarillo,"Amarillo","Rojo"))))</f>
        <v>Amarillo</v>
      </c>
      <c r="S18" s="39" t="s">
        <v>388</v>
      </c>
    </row>
    <row r="19" customFormat="false" ht="15" hidden="false" customHeight="false" outlineLevel="0" collapsed="false">
      <c r="A19" s="38" t="s">
        <v>389</v>
      </c>
      <c r="B19" s="38" t="s">
        <v>282</v>
      </c>
      <c r="C19" s="39" t="s">
        <v>390</v>
      </c>
      <c r="D19" s="38" t="s">
        <v>46</v>
      </c>
      <c r="E19" s="44" t="n">
        <v>46631</v>
      </c>
      <c r="F19" s="44" t="n">
        <v>46736</v>
      </c>
      <c r="G19" s="45" t="n">
        <v>90000</v>
      </c>
      <c r="H19" s="40" t="n">
        <v>0</v>
      </c>
      <c r="I19" s="41" t="n">
        <f aca="false">IF(Fecha_Corte&lt;=E19,0,IF(Fecha_Corte&gt;=F19,1,(Fecha_Corte-E19)/(F19-E19)))</f>
        <v>0</v>
      </c>
      <c r="J19" s="46" t="n">
        <f aca="false">SUMIFS(F2_Ejecucion!$J$5:$J$500,F2_Ejecucion!$D$5:$D$500,A19)</f>
        <v>0</v>
      </c>
      <c r="K19" s="41" t="n">
        <f aca="false">IF(G19=0,0,J19/G19)</f>
        <v>0</v>
      </c>
      <c r="L19" s="46" t="n">
        <f aca="false">G19*H19</f>
        <v>0</v>
      </c>
      <c r="M19" s="46" t="n">
        <f aca="false">G19*I19</f>
        <v>0</v>
      </c>
      <c r="N19" s="47" t="str">
        <f aca="false">IF(M19=0,"n/a",L19/M19)</f>
        <v>n/a</v>
      </c>
      <c r="O19" s="47" t="str">
        <f aca="false">IF(J19=0,"n/a",L19/J19)</f>
        <v>n/a</v>
      </c>
      <c r="P19" s="48" t="n">
        <f aca="false">IF(H19&gt;=1,0,MAX(0,Fecha_Corte-F19))</f>
        <v>0</v>
      </c>
      <c r="Q19" s="49" t="str">
        <f aca="false">IF(H19&gt;=1,"Completada",IF(Fecha_Corte&lt;E19,"No iniciada",IF(Fecha_Corte&gt;F19,"Vencida sin completar",IF(NOT(ISNUMBER(N19)),"En curso",IF(N19&gt;=EVM_Verde,"En curso a tiempo",IF(N19&gt;=EVM_Amarillo,"En curso con retraso leve","En curso con retraso crítico"))))))</f>
        <v>No iniciada</v>
      </c>
      <c r="R19" s="17" t="str">
        <f aca="false">IF(H19&gt;=1,"Verde",IF(NOT(ISNUMBER(N19)),"Gris",IF(N19&gt;=EVM_Verde,"Verde",IF(N19&gt;=EVM_Amarillo,"Amarillo","Rojo"))))</f>
        <v>Gris</v>
      </c>
      <c r="S19" s="39" t="s">
        <v>391</v>
      </c>
    </row>
    <row r="20" customFormat="false" ht="26.85" hidden="false" customHeight="false" outlineLevel="0" collapsed="false">
      <c r="A20" s="38" t="s">
        <v>392</v>
      </c>
      <c r="B20" s="38" t="s">
        <v>301</v>
      </c>
      <c r="C20" s="39" t="s">
        <v>393</v>
      </c>
      <c r="D20" s="38" t="s">
        <v>276</v>
      </c>
      <c r="E20" s="44" t="n">
        <v>46402</v>
      </c>
      <c r="F20" s="44" t="n">
        <v>46507</v>
      </c>
      <c r="G20" s="45" t="n">
        <v>350000</v>
      </c>
      <c r="H20" s="40" t="n">
        <v>1</v>
      </c>
      <c r="I20" s="41" t="n">
        <f aca="false">IF(Fecha_Corte&lt;=E20,0,IF(Fecha_Corte&gt;=F20,1,(Fecha_Corte-E20)/(F20-E20)))</f>
        <v>1</v>
      </c>
      <c r="J20" s="46" t="n">
        <f aca="false">SUMIFS(F2_Ejecucion!$J$5:$J$500,F2_Ejecucion!$D$5:$D$500,A20)</f>
        <v>338000</v>
      </c>
      <c r="K20" s="41" t="n">
        <f aca="false">IF(G20=0,0,J20/G20)</f>
        <v>0.965714285714286</v>
      </c>
      <c r="L20" s="46" t="n">
        <f aca="false">G20*H20</f>
        <v>350000</v>
      </c>
      <c r="M20" s="46" t="n">
        <f aca="false">G20*I20</f>
        <v>350000</v>
      </c>
      <c r="N20" s="47" t="n">
        <f aca="false">IF(M20=0,"n/a",L20/M20)</f>
        <v>1</v>
      </c>
      <c r="O20" s="47" t="n">
        <f aca="false">IF(J20=0,"n/a",L20/J20)</f>
        <v>1.03550295857988</v>
      </c>
      <c r="P20" s="48" t="n">
        <f aca="false">IF(H20&gt;=1,0,MAX(0,Fecha_Corte-F20))</f>
        <v>0</v>
      </c>
      <c r="Q20" s="49" t="str">
        <f aca="false">IF(H20&gt;=1,"Completada",IF(Fecha_Corte&lt;E20,"No iniciada",IF(Fecha_Corte&gt;F20,"Vencida sin completar",IF(NOT(ISNUMBER(N20)),"En curso",IF(N20&gt;=EVM_Verde,"En curso a tiempo",IF(N20&gt;=EVM_Amarillo,"En curso con retraso leve","En curso con retraso crítico"))))))</f>
        <v>Completada</v>
      </c>
      <c r="R20" s="17" t="str">
        <f aca="false">IF(H20&gt;=1,"Verde",IF(NOT(ISNUMBER(N20)),"Gris",IF(N20&gt;=EVM_Verde,"Verde",IF(N20&gt;=EVM_Amarillo,"Amarillo","Rojo"))))</f>
        <v>Verde</v>
      </c>
      <c r="S20" s="39" t="s">
        <v>394</v>
      </c>
    </row>
    <row r="21" customFormat="false" ht="15" hidden="false" customHeight="false" outlineLevel="0" collapsed="false">
      <c r="A21" s="38" t="s">
        <v>395</v>
      </c>
      <c r="B21" s="38" t="s">
        <v>301</v>
      </c>
      <c r="C21" s="39" t="s">
        <v>274</v>
      </c>
      <c r="D21" s="38" t="s">
        <v>276</v>
      </c>
      <c r="E21" s="44" t="n">
        <v>46447</v>
      </c>
      <c r="F21" s="44" t="n">
        <v>46721</v>
      </c>
      <c r="G21" s="45" t="n">
        <v>1000000</v>
      </c>
      <c r="H21" s="40" t="n">
        <v>0.38</v>
      </c>
      <c r="I21" s="41" t="n">
        <f aca="false">IF(Fecha_Corte&lt;=E21,0,IF(Fecha_Corte&gt;=F21,1,(Fecha_Corte-E21)/(F21-E21)))</f>
        <v>0.441605839416058</v>
      </c>
      <c r="J21" s="46" t="n">
        <f aca="false">SUMIFS(F2_Ejecucion!$J$5:$J$500,F2_Ejecucion!$D$5:$D$500,A21)</f>
        <v>344850</v>
      </c>
      <c r="K21" s="41" t="n">
        <f aca="false">IF(G21=0,0,J21/G21)</f>
        <v>0.34485</v>
      </c>
      <c r="L21" s="46" t="n">
        <f aca="false">G21*H21</f>
        <v>380000</v>
      </c>
      <c r="M21" s="46" t="n">
        <f aca="false">G21*I21</f>
        <v>441605.839416058</v>
      </c>
      <c r="N21" s="47" t="n">
        <f aca="false">IF(M21=0,"n/a",L21/M21)</f>
        <v>0.860495867768595</v>
      </c>
      <c r="O21" s="47" t="n">
        <f aca="false">IF(J21=0,"n/a",L21/J21)</f>
        <v>1.10192837465565</v>
      </c>
      <c r="P21" s="48" t="n">
        <f aca="false">IF(H21&gt;=1,0,MAX(0,Fecha_Corte-F21))</f>
        <v>0</v>
      </c>
      <c r="Q21" s="49" t="str">
        <f aca="false">IF(H21&gt;=1,"Completada",IF(Fecha_Corte&lt;E21,"No iniciada",IF(Fecha_Corte&gt;F21,"Vencida sin completar",IF(NOT(ISNUMBER(N21)),"En curso",IF(N21&gt;=EVM_Verde,"En curso a tiempo",IF(N21&gt;=EVM_Amarillo,"En curso con retraso leve","En curso con retraso crítico"))))))</f>
        <v>En curso con retraso leve</v>
      </c>
      <c r="R21" s="17" t="str">
        <f aca="false">IF(H21&gt;=1,"Verde",IF(NOT(ISNUMBER(N21)),"Gris",IF(N21&gt;=EVM_Verde,"Verde",IF(N21&gt;=EVM_Amarillo,"Amarillo","Rojo"))))</f>
        <v>Amarillo</v>
      </c>
      <c r="S21" s="39" t="s">
        <v>396</v>
      </c>
    </row>
    <row r="22" customFormat="false" ht="26.85" hidden="false" customHeight="false" outlineLevel="0" collapsed="false">
      <c r="A22" s="38" t="s">
        <v>397</v>
      </c>
      <c r="B22" s="38" t="s">
        <v>301</v>
      </c>
      <c r="C22" s="39" t="s">
        <v>398</v>
      </c>
      <c r="D22" s="38" t="s">
        <v>46</v>
      </c>
      <c r="E22" s="44" t="n">
        <v>46508</v>
      </c>
      <c r="F22" s="44" t="n">
        <v>46736</v>
      </c>
      <c r="G22" s="45" t="n">
        <v>300000</v>
      </c>
      <c r="H22" s="40" t="n">
        <v>0.05</v>
      </c>
      <c r="I22" s="41" t="n">
        <f aca="false">IF(Fecha_Corte&lt;=E22,0,IF(Fecha_Corte&gt;=F22,1,(Fecha_Corte-E22)/(F22-E22)))</f>
        <v>0.263157894736842</v>
      </c>
      <c r="J22" s="46" t="n">
        <f aca="false">SUMIFS(F2_Ejecucion!$J$5:$J$500,F2_Ejecucion!$D$5:$D$500,A22)</f>
        <v>15000</v>
      </c>
      <c r="K22" s="41" t="n">
        <f aca="false">IF(G22=0,0,J22/G22)</f>
        <v>0.05</v>
      </c>
      <c r="L22" s="46" t="n">
        <f aca="false">G22*H22</f>
        <v>15000</v>
      </c>
      <c r="M22" s="46" t="n">
        <f aca="false">G22*I22</f>
        <v>78947.3684210526</v>
      </c>
      <c r="N22" s="47" t="n">
        <f aca="false">IF(M22=0,"n/a",L22/M22)</f>
        <v>0.19</v>
      </c>
      <c r="O22" s="47" t="n">
        <f aca="false">IF(J22=0,"n/a",L22/J22)</f>
        <v>1</v>
      </c>
      <c r="P22" s="48" t="n">
        <f aca="false">IF(H22&gt;=1,0,MAX(0,Fecha_Corte-F22))</f>
        <v>0</v>
      </c>
      <c r="Q22" s="49" t="str">
        <f aca="false">IF(H22&gt;=1,"Completada",IF(Fecha_Corte&lt;E22,"No iniciada",IF(Fecha_Corte&gt;F22,"Vencida sin completar",IF(NOT(ISNUMBER(N22)),"En curso",IF(N22&gt;=EVM_Verde,"En curso a tiempo",IF(N22&gt;=EVM_Amarillo,"En curso con retraso leve","En curso con retraso crítico"))))))</f>
        <v>En curso con retraso crítico</v>
      </c>
      <c r="R22" s="17" t="str">
        <f aca="false">IF(H22&gt;=1,"Verde",IF(NOT(ISNUMBER(N22)),"Gris",IF(N22&gt;=EVM_Verde,"Verde",IF(N22&gt;=EVM_Amarillo,"Amarillo","Rojo"))))</f>
        <v>Rojo</v>
      </c>
      <c r="S22" s="39" t="s">
        <v>399</v>
      </c>
    </row>
    <row r="23" customFormat="false" ht="15" hidden="false" customHeight="false" outlineLevel="0" collapsed="false">
      <c r="A23" s="38" t="s">
        <v>400</v>
      </c>
      <c r="B23" s="38" t="s">
        <v>301</v>
      </c>
      <c r="C23" s="39" t="s">
        <v>401</v>
      </c>
      <c r="D23" s="38" t="s">
        <v>62</v>
      </c>
      <c r="E23" s="44" t="n">
        <v>46478</v>
      </c>
      <c r="F23" s="44" t="n">
        <v>46691</v>
      </c>
      <c r="G23" s="45" t="n">
        <v>650000</v>
      </c>
      <c r="H23" s="40" t="n">
        <v>0.05</v>
      </c>
      <c r="I23" s="41" t="n">
        <f aca="false">IF(Fecha_Corte&lt;=E23,0,IF(Fecha_Corte&gt;=F23,1,(Fecha_Corte-E23)/(F23-E23)))</f>
        <v>0.422535211267606</v>
      </c>
      <c r="J23" s="46" t="n">
        <f aca="false">SUMIFS(F2_Ejecucion!$J$5:$J$500,F2_Ejecucion!$D$5:$D$500,A23)</f>
        <v>25000</v>
      </c>
      <c r="K23" s="41" t="n">
        <f aca="false">IF(G23=0,0,J23/G23)</f>
        <v>0.0384615384615385</v>
      </c>
      <c r="L23" s="46" t="n">
        <f aca="false">G23*H23</f>
        <v>32500</v>
      </c>
      <c r="M23" s="46" t="n">
        <f aca="false">G23*I23</f>
        <v>274647.887323944</v>
      </c>
      <c r="N23" s="47" t="n">
        <f aca="false">IF(M23=0,"n/a",L23/M23)</f>
        <v>0.118333333333333</v>
      </c>
      <c r="O23" s="47" t="n">
        <f aca="false">IF(J23=0,"n/a",L23/J23)</f>
        <v>1.3</v>
      </c>
      <c r="P23" s="48" t="n">
        <f aca="false">IF(H23&gt;=1,0,MAX(0,Fecha_Corte-F23))</f>
        <v>0</v>
      </c>
      <c r="Q23" s="49" t="str">
        <f aca="false">IF(H23&gt;=1,"Completada",IF(Fecha_Corte&lt;E23,"No iniciada",IF(Fecha_Corte&gt;F23,"Vencida sin completar",IF(NOT(ISNUMBER(N23)),"En curso",IF(N23&gt;=EVM_Verde,"En curso a tiempo",IF(N23&gt;=EVM_Amarillo,"En curso con retraso leve","En curso con retraso crítico"))))))</f>
        <v>En curso con retraso crítico</v>
      </c>
      <c r="R23" s="17" t="str">
        <f aca="false">IF(H23&gt;=1,"Verde",IF(NOT(ISNUMBER(N23)),"Gris",IF(N23&gt;=EVM_Verde,"Verde",IF(N23&gt;=EVM_Amarillo,"Amarillo","Rojo"))))</f>
        <v>Rojo</v>
      </c>
      <c r="S23" s="39" t="s">
        <v>402</v>
      </c>
    </row>
    <row r="24" customFormat="false" ht="15" hidden="false" customHeight="false" outlineLevel="0" collapsed="false">
      <c r="A24" s="38" t="s">
        <v>403</v>
      </c>
      <c r="B24" s="38" t="s">
        <v>330</v>
      </c>
      <c r="C24" s="39" t="s">
        <v>404</v>
      </c>
      <c r="D24" s="38" t="s">
        <v>29</v>
      </c>
      <c r="E24" s="44" t="n">
        <v>46391</v>
      </c>
      <c r="F24" s="44" t="n">
        <v>46752</v>
      </c>
      <c r="G24" s="45" t="n">
        <v>400000</v>
      </c>
      <c r="H24" s="40" t="n">
        <v>0.5</v>
      </c>
      <c r="I24" s="41" t="n">
        <f aca="false">IF(Fecha_Corte&lt;=E24,0,IF(Fecha_Corte&gt;=F24,1,(Fecha_Corte-E24)/(F24-E24)))</f>
        <v>0.490304709141274</v>
      </c>
      <c r="J24" s="46" t="n">
        <f aca="false">SUMIFS(F2_Ejecucion!$J$5:$J$500,F2_Ejecucion!$D$5:$D$500,A24)</f>
        <v>191200</v>
      </c>
      <c r="K24" s="41" t="n">
        <f aca="false">IF(G24=0,0,J24/G24)</f>
        <v>0.478</v>
      </c>
      <c r="L24" s="46" t="n">
        <f aca="false">G24*H24</f>
        <v>200000</v>
      </c>
      <c r="M24" s="46" t="n">
        <f aca="false">G24*I24</f>
        <v>196121.88365651</v>
      </c>
      <c r="N24" s="47" t="n">
        <f aca="false">IF(M24=0,"n/a",L24/M24)</f>
        <v>1.01977401129944</v>
      </c>
      <c r="O24" s="47" t="n">
        <f aca="false">IF(J24=0,"n/a",L24/J24)</f>
        <v>1.04602510460251</v>
      </c>
      <c r="P24" s="48" t="n">
        <f aca="false">IF(H24&gt;=1,0,MAX(0,Fecha_Corte-F24))</f>
        <v>0</v>
      </c>
      <c r="Q24" s="49" t="str">
        <f aca="false">IF(H24&gt;=1,"Completada",IF(Fecha_Corte&lt;E24,"No iniciada",IF(Fecha_Corte&gt;F24,"Vencida sin completar",IF(NOT(ISNUMBER(N24)),"En curso",IF(N24&gt;=EVM_Verde,"En curso a tiempo",IF(N24&gt;=EVM_Amarillo,"En curso con retraso leve","En curso con retraso crítico"))))))</f>
        <v>En curso a tiempo</v>
      </c>
      <c r="R24" s="17" t="str">
        <f aca="false">IF(H24&gt;=1,"Verde",IF(NOT(ISNUMBER(N24)),"Gris",IF(N24&gt;=EVM_Verde,"Verde",IF(N24&gt;=EVM_Amarillo,"Amarillo","Rojo"))))</f>
        <v>Verde</v>
      </c>
      <c r="S24" s="39" t="s">
        <v>405</v>
      </c>
    </row>
    <row r="25" customFormat="false" ht="15" hidden="false" customHeight="false" outlineLevel="0" collapsed="false">
      <c r="A25" s="38" t="s">
        <v>406</v>
      </c>
      <c r="B25" s="38" t="s">
        <v>330</v>
      </c>
      <c r="C25" s="39" t="s">
        <v>407</v>
      </c>
      <c r="D25" s="38" t="s">
        <v>276</v>
      </c>
      <c r="E25" s="44" t="n">
        <v>46402</v>
      </c>
      <c r="F25" s="44" t="n">
        <v>46583</v>
      </c>
      <c r="G25" s="45" t="n">
        <v>190000</v>
      </c>
      <c r="H25" s="40" t="n">
        <v>0.65</v>
      </c>
      <c r="I25" s="41" t="n">
        <f aca="false">IF(Fecha_Corte&lt;=E25,0,IF(Fecha_Corte&gt;=F25,1,(Fecha_Corte-E25)/(F25-E25)))</f>
        <v>0.917127071823204</v>
      </c>
      <c r="J25" s="46" t="n">
        <f aca="false">SUMIFS(F2_Ejecucion!$J$5:$J$500,F2_Ejecucion!$D$5:$D$500,A25)</f>
        <v>117200</v>
      </c>
      <c r="K25" s="41" t="n">
        <f aca="false">IF(G25=0,0,J25/G25)</f>
        <v>0.616842105263158</v>
      </c>
      <c r="L25" s="46" t="n">
        <f aca="false">G25*H25</f>
        <v>123500</v>
      </c>
      <c r="M25" s="46" t="n">
        <f aca="false">G25*I25</f>
        <v>174254.143646409</v>
      </c>
      <c r="N25" s="47" t="n">
        <f aca="false">IF(M25=0,"n/a",L25/M25)</f>
        <v>0.708734939759036</v>
      </c>
      <c r="O25" s="47" t="n">
        <f aca="false">IF(J25=0,"n/a",L25/J25)</f>
        <v>1.0537542662116</v>
      </c>
      <c r="P25" s="48" t="n">
        <f aca="false">IF(H25&gt;=1,0,MAX(0,Fecha_Corte-F25))</f>
        <v>0</v>
      </c>
      <c r="Q25" s="49" t="str">
        <f aca="false">IF(H25&gt;=1,"Completada",IF(Fecha_Corte&lt;E25,"No iniciada",IF(Fecha_Corte&gt;F25,"Vencida sin completar",IF(NOT(ISNUMBER(N25)),"En curso",IF(N25&gt;=EVM_Verde,"En curso a tiempo",IF(N25&gt;=EVM_Amarillo,"En curso con retraso leve","En curso con retraso crítico"))))))</f>
        <v>En curso con retraso crítico</v>
      </c>
      <c r="R25" s="17" t="str">
        <f aca="false">IF(H25&gt;=1,"Verde",IF(NOT(ISNUMBER(N25)),"Gris",IF(N25&gt;=EVM_Verde,"Verde",IF(N25&gt;=EVM_Amarillo,"Amarillo","Rojo"))))</f>
        <v>Rojo</v>
      </c>
      <c r="S25" s="39" t="s">
        <v>408</v>
      </c>
    </row>
    <row r="26" customFormat="false" ht="15" hidden="false" customHeight="false" outlineLevel="0" collapsed="false">
      <c r="A26" s="38" t="s">
        <v>409</v>
      </c>
      <c r="B26" s="38" t="s">
        <v>330</v>
      </c>
      <c r="C26" s="39" t="s">
        <v>410</v>
      </c>
      <c r="D26" s="38" t="s">
        <v>50</v>
      </c>
      <c r="E26" s="44" t="n">
        <v>46661</v>
      </c>
      <c r="F26" s="44" t="n">
        <v>46752</v>
      </c>
      <c r="G26" s="45" t="n">
        <v>90000</v>
      </c>
      <c r="H26" s="40" t="n">
        <v>0</v>
      </c>
      <c r="I26" s="41" t="n">
        <f aca="false">IF(Fecha_Corte&lt;=E26,0,IF(Fecha_Corte&gt;=F26,1,(Fecha_Corte-E26)/(F26-E26)))</f>
        <v>0</v>
      </c>
      <c r="J26" s="46" t="n">
        <f aca="false">SUMIFS(F2_Ejecucion!$J$5:$J$500,F2_Ejecucion!$D$5:$D$500,A26)</f>
        <v>0</v>
      </c>
      <c r="K26" s="41" t="n">
        <f aca="false">IF(G26=0,0,J26/G26)</f>
        <v>0</v>
      </c>
      <c r="L26" s="46" t="n">
        <f aca="false">G26*H26</f>
        <v>0</v>
      </c>
      <c r="M26" s="46" t="n">
        <f aca="false">G26*I26</f>
        <v>0</v>
      </c>
      <c r="N26" s="47" t="str">
        <f aca="false">IF(M26=0,"n/a",L26/M26)</f>
        <v>n/a</v>
      </c>
      <c r="O26" s="47" t="str">
        <f aca="false">IF(J26=0,"n/a",L26/J26)</f>
        <v>n/a</v>
      </c>
      <c r="P26" s="48" t="n">
        <f aca="false">IF(H26&gt;=1,0,MAX(0,Fecha_Corte-F26))</f>
        <v>0</v>
      </c>
      <c r="Q26" s="49" t="str">
        <f aca="false">IF(H26&gt;=1,"Completada",IF(Fecha_Corte&lt;E26,"No iniciada",IF(Fecha_Corte&gt;F26,"Vencida sin completar",IF(NOT(ISNUMBER(N26)),"En curso",IF(N26&gt;=EVM_Verde,"En curso a tiempo",IF(N26&gt;=EVM_Amarillo,"En curso con retraso leve","En curso con retraso crítico"))))))</f>
        <v>No iniciada</v>
      </c>
      <c r="R26" s="17" t="str">
        <f aca="false">IF(H26&gt;=1,"Verde",IF(NOT(ISNUMBER(N26)),"Gris",IF(N26&gt;=EVM_Verde,"Verde",IF(N26&gt;=EVM_Amarillo,"Amarillo","Rojo"))))</f>
        <v>Gris</v>
      </c>
      <c r="S26" s="39" t="s">
        <v>411</v>
      </c>
    </row>
    <row r="27" customFormat="false" ht="26.85" hidden="false" customHeight="false" outlineLevel="0" collapsed="false">
      <c r="A27" s="38" t="s">
        <v>412</v>
      </c>
      <c r="B27" s="38" t="s">
        <v>330</v>
      </c>
      <c r="C27" s="39" t="s">
        <v>413</v>
      </c>
      <c r="D27" s="38" t="s">
        <v>46</v>
      </c>
      <c r="E27" s="44" t="n">
        <v>46419</v>
      </c>
      <c r="F27" s="44" t="n">
        <v>46736</v>
      </c>
      <c r="G27" s="45" t="n">
        <v>110000</v>
      </c>
      <c r="H27" s="40" t="n">
        <v>0.4</v>
      </c>
      <c r="I27" s="41" t="n">
        <f aca="false">IF(Fecha_Corte&lt;=E27,0,IF(Fecha_Corte&gt;=F27,1,(Fecha_Corte-E27)/(F27-E27)))</f>
        <v>0.470031545741325</v>
      </c>
      <c r="J27" s="46" t="n">
        <f aca="false">SUMIFS(F2_Ejecucion!$J$5:$J$500,F2_Ejecucion!$D$5:$D$500,A27)</f>
        <v>38000</v>
      </c>
      <c r="K27" s="41" t="n">
        <f aca="false">IF(G27=0,0,J27/G27)</f>
        <v>0.345454545454545</v>
      </c>
      <c r="L27" s="46" t="n">
        <f aca="false">G27*H27</f>
        <v>44000</v>
      </c>
      <c r="M27" s="46" t="n">
        <f aca="false">G27*I27</f>
        <v>51703.4700315457</v>
      </c>
      <c r="N27" s="47" t="n">
        <f aca="false">IF(M27=0,"n/a",L27/M27)</f>
        <v>0.851006711409396</v>
      </c>
      <c r="O27" s="47" t="n">
        <f aca="false">IF(J27=0,"n/a",L27/J27)</f>
        <v>1.15789473684211</v>
      </c>
      <c r="P27" s="48" t="n">
        <f aca="false">IF(H27&gt;=1,0,MAX(0,Fecha_Corte-F27))</f>
        <v>0</v>
      </c>
      <c r="Q27" s="49" t="str">
        <f aca="false">IF(H27&gt;=1,"Completada",IF(Fecha_Corte&lt;E27,"No iniciada",IF(Fecha_Corte&gt;F27,"Vencida sin completar",IF(NOT(ISNUMBER(N27)),"En curso",IF(N27&gt;=EVM_Verde,"En curso a tiempo",IF(N27&gt;=EVM_Amarillo,"En curso con retraso leve","En curso con retraso crítico"))))))</f>
        <v>En curso con retraso leve</v>
      </c>
      <c r="R27" s="17" t="str">
        <f aca="false">IF(H27&gt;=1,"Verde",IF(NOT(ISNUMBER(N27)),"Gris",IF(N27&gt;=EVM_Verde,"Verde",IF(N27&gt;=EVM_Amarillo,"Amarillo","Rojo"))))</f>
        <v>Amarillo</v>
      </c>
      <c r="S27" s="39" t="s">
        <v>414</v>
      </c>
    </row>
    <row r="28" customFormat="false" ht="15" hidden="false" customHeight="false" outlineLevel="0" collapsed="false">
      <c r="A28" s="38" t="s">
        <v>415</v>
      </c>
      <c r="B28" s="38" t="s">
        <v>330</v>
      </c>
      <c r="C28" s="39" t="s">
        <v>416</v>
      </c>
      <c r="D28" s="38" t="s">
        <v>276</v>
      </c>
      <c r="E28" s="44" t="n">
        <v>46447</v>
      </c>
      <c r="F28" s="44" t="n">
        <v>46736</v>
      </c>
      <c r="G28" s="45" t="n">
        <v>80000</v>
      </c>
      <c r="H28" s="40" t="n">
        <v>0.36</v>
      </c>
      <c r="I28" s="41" t="n">
        <f aca="false">IF(Fecha_Corte&lt;=E28,0,IF(Fecha_Corte&gt;=F28,1,(Fecha_Corte-E28)/(F28-E28)))</f>
        <v>0.418685121107266</v>
      </c>
      <c r="J28" s="46" t="n">
        <f aca="false">SUMIFS(F2_Ejecucion!$J$5:$J$500,F2_Ejecucion!$D$5:$D$500,A28)</f>
        <v>28000</v>
      </c>
      <c r="K28" s="41" t="n">
        <f aca="false">IF(G28=0,0,J28/G28)</f>
        <v>0.35</v>
      </c>
      <c r="L28" s="46" t="n">
        <f aca="false">G28*H28</f>
        <v>28800</v>
      </c>
      <c r="M28" s="46" t="n">
        <f aca="false">G28*I28</f>
        <v>33494.8096885813</v>
      </c>
      <c r="N28" s="47" t="n">
        <f aca="false">IF(M28=0,"n/a",L28/M28)</f>
        <v>0.859834710743802</v>
      </c>
      <c r="O28" s="47" t="n">
        <f aca="false">IF(J28=0,"n/a",L28/J28)</f>
        <v>1.02857142857143</v>
      </c>
      <c r="P28" s="48" t="n">
        <f aca="false">IF(H28&gt;=1,0,MAX(0,Fecha_Corte-F28))</f>
        <v>0</v>
      </c>
      <c r="Q28" s="49" t="str">
        <f aca="false">IF(H28&gt;=1,"Completada",IF(Fecha_Corte&lt;E28,"No iniciada",IF(Fecha_Corte&gt;F28,"Vencida sin completar",IF(NOT(ISNUMBER(N28)),"En curso",IF(N28&gt;=EVM_Verde,"En curso a tiempo",IF(N28&gt;=EVM_Amarillo,"En curso con retraso leve","En curso con retraso crítico"))))))</f>
        <v>En curso con retraso leve</v>
      </c>
      <c r="R28" s="17" t="str">
        <f aca="false">IF(H28&gt;=1,"Verde",IF(NOT(ISNUMBER(N28)),"Gris",IF(N28&gt;=EVM_Verde,"Verde",IF(N28&gt;=EVM_Amarillo,"Amarillo","Rojo"))))</f>
        <v>Amarillo</v>
      </c>
      <c r="S28" s="39" t="s">
        <v>417</v>
      </c>
    </row>
  </sheetData>
  <autoFilter ref="A4:S28"/>
  <conditionalFormatting sqref="R5:R200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"Amarillo"</formula>
    </cfRule>
    <cfRule type="cellIs" priority="4" operator="equal" aboveAverage="0" equalAverage="0" bottom="0" percent="0" rank="0" text="" dxfId="2">
      <formula>"Rojo"</formula>
    </cfRule>
  </conditionalFormatting>
  <conditionalFormatting sqref="N5:O200">
    <cfRule type="expression" priority="5" aboveAverage="0" equalAverage="0" bottom="0" percent="0" rank="0" text="" dxfId="0">
      <formula>AND(ISNUMBER(N5),N5&gt;=EVM_Verde)</formula>
    </cfRule>
    <cfRule type="expression" priority="6" aboveAverage="0" equalAverage="0" bottom="0" percent="0" rank="0" text="" dxfId="1">
      <formula>AND(ISNUMBER(N5),N5&lt;EVM_Verde,N5&gt;=EVM_Amarillo)</formula>
    </cfRule>
    <cfRule type="expression" priority="7" aboveAverage="0" equalAverage="0" bottom="0" percent="0" rank="0" text="" dxfId="2">
      <formula>AND(ISNUMBER(N5),N5&lt;EVM_Amarillo)</formula>
    </cfRule>
  </conditionalFormatting>
  <dataValidations count="2">
    <dataValidation allowBlank="true" error="Valor no válido" errorStyle="stop" errorTitle="Seleccione un valor de la lista" operator="between" showDropDown="false" showErrorMessage="false" showInputMessage="false" sqref="B5:B200" type="list">
      <formula1>Listas!$A$5:$A$9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D5:D200" type="list">
      <formula1>Listas!$V$5:$V$11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7" min="5" style="0" width="11"/>
    <col collapsed="false" customWidth="true" hidden="false" outlineLevel="0" max="9" min="8" style="0" width="14"/>
    <col collapsed="false" customWidth="true" hidden="false" outlineLevel="0" max="11" min="10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24" hidden="false" customHeight="true" outlineLevel="0" collapsed="false">
      <c r="A1" s="1" t="s">
        <v>418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419</v>
      </c>
    </row>
    <row r="4" customFormat="false" ht="43.5" hidden="false" customHeight="true" outlineLevel="0" collapsed="false">
      <c r="A4" s="14" t="s">
        <v>256</v>
      </c>
      <c r="B4" s="14" t="s">
        <v>420</v>
      </c>
      <c r="C4" s="14" t="s">
        <v>421</v>
      </c>
      <c r="D4" s="14" t="s">
        <v>422</v>
      </c>
      <c r="E4" s="14" t="s">
        <v>423</v>
      </c>
      <c r="F4" s="14" t="s">
        <v>424</v>
      </c>
      <c r="G4" s="14" t="s">
        <v>425</v>
      </c>
      <c r="H4" s="14" t="s">
        <v>426</v>
      </c>
      <c r="I4" s="14" t="s">
        <v>427</v>
      </c>
      <c r="J4" s="14" t="s">
        <v>344</v>
      </c>
      <c r="K4" s="14" t="s">
        <v>345</v>
      </c>
      <c r="L4" s="14" t="s">
        <v>428</v>
      </c>
      <c r="M4" s="14" t="s">
        <v>429</v>
      </c>
      <c r="N4" s="14" t="s">
        <v>430</v>
      </c>
      <c r="O4" s="14" t="s">
        <v>95</v>
      </c>
    </row>
    <row r="5" customFormat="false" ht="15" hidden="false" customHeight="false" outlineLevel="0" collapsed="false">
      <c r="A5" s="15" t="s">
        <v>287</v>
      </c>
      <c r="B5" s="15" t="s">
        <v>431</v>
      </c>
      <c r="C5" s="46" t="n">
        <f aca="false">SUMIFS(P1_POA!$G$5:$G$200,P1_POA!$B$5:$B$200,A5)</f>
        <v>1030000</v>
      </c>
      <c r="D5" s="46" t="n">
        <f aca="false">SUMIFS(P1_POA!$J$5:$J$200,P1_POA!$B$5:$B$200,A5)</f>
        <v>627600</v>
      </c>
      <c r="E5" s="41" t="n">
        <f aca="false">IF(C5=0,0,D5/C5)</f>
        <v>0.609320388349515</v>
      </c>
      <c r="F5" s="41" t="n">
        <f aca="false">IF(C5=0,0,H5/C5)</f>
        <v>0.679223300970874</v>
      </c>
      <c r="G5" s="41" t="n">
        <f aca="false">IF(C5=0,0,I5/C5)</f>
        <v>0.755612009614874</v>
      </c>
      <c r="H5" s="46" t="n">
        <f aca="false">SUMIFS(P1_POA!$L$5:$L$200,P1_POA!$B$5:$B$200,A5)</f>
        <v>699600</v>
      </c>
      <c r="I5" s="46" t="n">
        <f aca="false">SUMIFS(P1_POA!$M$5:$M$200,P1_POA!$B$5:$B$200,A5)</f>
        <v>778280.369903321</v>
      </c>
      <c r="J5" s="47" t="n">
        <f aca="false">IF(I5=0,"n/a",H5/I5)</f>
        <v>0.898904851071736</v>
      </c>
      <c r="K5" s="47" t="n">
        <f aca="false">IF(D5=0,"n/a",H5/D5)</f>
        <v>1.11472275334608</v>
      </c>
      <c r="L5" s="41" t="n">
        <f aca="false">F5-E5</f>
        <v>0.0699029126213593</v>
      </c>
      <c r="M5" s="48" t="n">
        <f aca="false">COUNTIFS(P1_POA!$B$5:$B$200,A5)</f>
        <v>5</v>
      </c>
      <c r="N5" s="48" t="n">
        <f aca="false">COUNTIFS(P1_POA!$B$5:$B$200,A5,P1_POA!$R$5:$R$200,"Rojo")+COUNTIFS(P1_POA!$B$5:$B$200,A5,P1_POA!$R$5:$R$200,"Amarillo")</f>
        <v>4</v>
      </c>
      <c r="O5" s="17" t="str">
        <f aca="false">IF(NOT(ISNUMBER(J5)),"Gris",IF(MIN(J5,IF(ISNUMBER(K5),K5,J5))&gt;=EVM_Verde,"Verde",IF(MIN(J5,IF(ISNUMBER(K5),K5,J5))&gt;=EVM_Amarillo,"Amarillo","Rojo")))</f>
        <v>Amarillo</v>
      </c>
    </row>
    <row r="6" customFormat="false" ht="15" hidden="false" customHeight="false" outlineLevel="0" collapsed="false">
      <c r="A6" s="15" t="s">
        <v>273</v>
      </c>
      <c r="B6" s="15" t="s">
        <v>432</v>
      </c>
      <c r="C6" s="46" t="n">
        <f aca="false">SUMIFS(P1_POA!$G$5:$G$200,P1_POA!$B$5:$B$200,A6)</f>
        <v>1800000</v>
      </c>
      <c r="D6" s="46" t="n">
        <f aca="false">SUMIFS(P1_POA!$J$5:$J$200,P1_POA!$B$5:$B$200,A6)</f>
        <v>735300</v>
      </c>
      <c r="E6" s="41" t="n">
        <f aca="false">IF(C6=0,0,D6/C6)</f>
        <v>0.4085</v>
      </c>
      <c r="F6" s="41" t="n">
        <f aca="false">IF(C6=0,0,H6/C6)</f>
        <v>0.425</v>
      </c>
      <c r="G6" s="41" t="n">
        <f aca="false">IF(C6=0,0,I6/C6)</f>
        <v>0.419610820162619</v>
      </c>
      <c r="H6" s="46" t="n">
        <f aca="false">SUMIFS(P1_POA!$L$5:$L$200,P1_POA!$B$5:$B$200,A6)</f>
        <v>765000</v>
      </c>
      <c r="I6" s="46" t="n">
        <f aca="false">SUMIFS(P1_POA!$M$5:$M$200,P1_POA!$B$5:$B$200,A6)</f>
        <v>755299.476292714</v>
      </c>
      <c r="J6" s="47" t="n">
        <f aca="false">IF(I6=0,"n/a",H6/I6)</f>
        <v>1.01284328138939</v>
      </c>
      <c r="K6" s="47" t="n">
        <f aca="false">IF(D6=0,"n/a",H6/D6)</f>
        <v>1.04039167686659</v>
      </c>
      <c r="L6" s="41" t="n">
        <f aca="false">F6-E6</f>
        <v>0.0165</v>
      </c>
      <c r="M6" s="48" t="n">
        <f aca="false">COUNTIFS(P1_POA!$B$5:$B$200,A6)</f>
        <v>6</v>
      </c>
      <c r="N6" s="48" t="n">
        <f aca="false">COUNTIFS(P1_POA!$B$5:$B$200,A6,P1_POA!$R$5:$R$200,"Rojo")+COUNTIFS(P1_POA!$B$5:$B$200,A6,P1_POA!$R$5:$R$200,"Amarillo")</f>
        <v>2</v>
      </c>
      <c r="O6" s="17" t="str">
        <f aca="false">IF(NOT(ISNUMBER(J6)),"Gris",IF(MIN(J6,IF(ISNUMBER(K6),K6,J6))&gt;=EVM_Verde,"Verde",IF(MIN(J6,IF(ISNUMBER(K6),K6,J6))&gt;=EVM_Amarillo,"Amarillo","Rojo")))</f>
        <v>Verde</v>
      </c>
    </row>
    <row r="7" customFormat="false" ht="15" hidden="false" customHeight="false" outlineLevel="0" collapsed="false">
      <c r="A7" s="15" t="s">
        <v>282</v>
      </c>
      <c r="B7" s="15" t="s">
        <v>433</v>
      </c>
      <c r="C7" s="46" t="n">
        <f aca="false">SUMIFS(P1_POA!$G$5:$G$200,P1_POA!$B$5:$B$200,A7)</f>
        <v>500000</v>
      </c>
      <c r="D7" s="46" t="n">
        <f aca="false">SUMIFS(P1_POA!$J$5:$J$200,P1_POA!$B$5:$B$200,A7)</f>
        <v>268200</v>
      </c>
      <c r="E7" s="41" t="n">
        <f aca="false">IF(C7=0,0,D7/C7)</f>
        <v>0.5364</v>
      </c>
      <c r="F7" s="41" t="n">
        <f aca="false">IF(C7=0,0,H7/C7)</f>
        <v>0.5462</v>
      </c>
      <c r="G7" s="41" t="n">
        <f aca="false">IF(C7=0,0,I7/C7)</f>
        <v>0.565018532246108</v>
      </c>
      <c r="H7" s="46" t="n">
        <f aca="false">SUMIFS(P1_POA!$L$5:$L$200,P1_POA!$B$5:$B$200,A7)</f>
        <v>273100</v>
      </c>
      <c r="I7" s="46" t="n">
        <f aca="false">SUMIFS(P1_POA!$M$5:$M$200,P1_POA!$B$5:$B$200,A7)</f>
        <v>282509.266123054</v>
      </c>
      <c r="J7" s="47" t="n">
        <f aca="false">IF(I7=0,"n/a",H7/I7)</f>
        <v>0.966693955733984</v>
      </c>
      <c r="K7" s="47" t="n">
        <f aca="false">IF(D7=0,"n/a",H7/D7)</f>
        <v>1.01826994780015</v>
      </c>
      <c r="L7" s="41" t="n">
        <f aca="false">F7-E7</f>
        <v>0.00980000000000003</v>
      </c>
      <c r="M7" s="48" t="n">
        <f aca="false">COUNTIFS(P1_POA!$B$5:$B$200,A7)</f>
        <v>4</v>
      </c>
      <c r="N7" s="48" t="n">
        <f aca="false">COUNTIFS(P1_POA!$B$5:$B$200,A7,P1_POA!$R$5:$R$200,"Rojo")+COUNTIFS(P1_POA!$B$5:$B$200,A7,P1_POA!$R$5:$R$200,"Amarillo")</f>
        <v>2</v>
      </c>
      <c r="O7" s="17" t="str">
        <f aca="false">IF(NOT(ISNUMBER(J7)),"Gris",IF(MIN(J7,IF(ISNUMBER(K7),K7,J7))&gt;=EVM_Verde,"Verde",IF(MIN(J7,IF(ISNUMBER(K7),K7,J7))&gt;=EVM_Amarillo,"Amarillo","Rojo")))</f>
        <v>Verde</v>
      </c>
    </row>
    <row r="8" customFormat="false" ht="15" hidden="false" customHeight="false" outlineLevel="0" collapsed="false">
      <c r="A8" s="15" t="s">
        <v>301</v>
      </c>
      <c r="B8" s="15" t="s">
        <v>434</v>
      </c>
      <c r="C8" s="46" t="n">
        <f aca="false">SUMIFS(P1_POA!$G$5:$G$200,P1_POA!$B$5:$B$200,A8)</f>
        <v>2300000</v>
      </c>
      <c r="D8" s="46" t="n">
        <f aca="false">SUMIFS(P1_POA!$J$5:$J$200,P1_POA!$B$5:$B$200,A8)</f>
        <v>722850</v>
      </c>
      <c r="E8" s="41" t="n">
        <f aca="false">IF(C8=0,0,D8/C8)</f>
        <v>0.314282608695652</v>
      </c>
      <c r="F8" s="41" t="n">
        <f aca="false">IF(C8=0,0,H8/C8)</f>
        <v>0.33804347826087</v>
      </c>
      <c r="G8" s="41" t="n">
        <f aca="false">IF(C8=0,0,I8/C8)</f>
        <v>0.497913519635241</v>
      </c>
      <c r="H8" s="46" t="n">
        <f aca="false">SUMIFS(P1_POA!$L$5:$L$200,P1_POA!$B$5:$B$200,A8)</f>
        <v>777500</v>
      </c>
      <c r="I8" s="46" t="n">
        <f aca="false">SUMIFS(P1_POA!$M$5:$M$200,P1_POA!$B$5:$B$200,A8)</f>
        <v>1145201.09516105</v>
      </c>
      <c r="J8" s="47" t="n">
        <f aca="false">IF(I8=0,"n/a",H8/I8)</f>
        <v>0.678920063284306</v>
      </c>
      <c r="K8" s="47" t="n">
        <f aca="false">IF(D8=0,"n/a",H8/D8)</f>
        <v>1.07560351386871</v>
      </c>
      <c r="L8" s="41" t="n">
        <f aca="false">F8-E8</f>
        <v>0.0237608695652174</v>
      </c>
      <c r="M8" s="48" t="n">
        <f aca="false">COUNTIFS(P1_POA!$B$5:$B$200,A8)</f>
        <v>4</v>
      </c>
      <c r="N8" s="48" t="n">
        <f aca="false">COUNTIFS(P1_POA!$B$5:$B$200,A8,P1_POA!$R$5:$R$200,"Rojo")+COUNTIFS(P1_POA!$B$5:$B$200,A8,P1_POA!$R$5:$R$200,"Amarillo")</f>
        <v>3</v>
      </c>
      <c r="O8" s="17" t="str">
        <f aca="false">IF(NOT(ISNUMBER(J8)),"Gris",IF(MIN(J8,IF(ISNUMBER(K8),K8,J8))&gt;=EVM_Verde,"Verde",IF(MIN(J8,IF(ISNUMBER(K8),K8,J8))&gt;=EVM_Amarillo,"Amarillo","Rojo")))</f>
        <v>Rojo</v>
      </c>
    </row>
    <row r="9" customFormat="false" ht="15" hidden="false" customHeight="false" outlineLevel="0" collapsed="false">
      <c r="A9" s="15" t="s">
        <v>330</v>
      </c>
      <c r="B9" s="15" t="s">
        <v>435</v>
      </c>
      <c r="C9" s="46" t="n">
        <f aca="false">SUMIFS(P1_POA!$G$5:$G$200,P1_POA!$B$5:$B$200,A9)</f>
        <v>870000</v>
      </c>
      <c r="D9" s="46" t="n">
        <f aca="false">SUMIFS(P1_POA!$J$5:$J$200,P1_POA!$B$5:$B$200,A9)</f>
        <v>374400</v>
      </c>
      <c r="E9" s="41" t="n">
        <f aca="false">IF(C9=0,0,D9/C9)</f>
        <v>0.430344827586207</v>
      </c>
      <c r="F9" s="41" t="n">
        <f aca="false">IF(C9=0,0,H9/C9)</f>
        <v>0.45551724137931</v>
      </c>
      <c r="G9" s="41" t="n">
        <f aca="false">IF(C9=0,0,I9/C9)</f>
        <v>0.523648628762121</v>
      </c>
      <c r="H9" s="46" t="n">
        <f aca="false">SUMIFS(P1_POA!$L$5:$L$200,P1_POA!$B$5:$B$200,A9)</f>
        <v>396300</v>
      </c>
      <c r="I9" s="46" t="n">
        <f aca="false">SUMIFS(P1_POA!$M$5:$M$200,P1_POA!$B$5:$B$200,A9)</f>
        <v>455574.307023046</v>
      </c>
      <c r="J9" s="47" t="n">
        <f aca="false">IF(I9=0,"n/a",H9/I9)</f>
        <v>0.869891023024599</v>
      </c>
      <c r="K9" s="47" t="n">
        <f aca="false">IF(D9=0,"n/a",H9/D9)</f>
        <v>1.05849358974359</v>
      </c>
      <c r="L9" s="41" t="n">
        <f aca="false">F9-E9</f>
        <v>0.0251724137931034</v>
      </c>
      <c r="M9" s="48" t="n">
        <f aca="false">COUNTIFS(P1_POA!$B$5:$B$200,A9)</f>
        <v>5</v>
      </c>
      <c r="N9" s="48" t="n">
        <f aca="false">COUNTIFS(P1_POA!$B$5:$B$200,A9,P1_POA!$R$5:$R$200,"Rojo")+COUNTIFS(P1_POA!$B$5:$B$200,A9,P1_POA!$R$5:$R$200,"Amarillo")</f>
        <v>3</v>
      </c>
      <c r="O9" s="17" t="str">
        <f aca="false">IF(NOT(ISNUMBER(J9)),"Gris",IF(MIN(J9,IF(ISNUMBER(K9),K9,J9))&gt;=EVM_Verde,"Verde",IF(MIN(J9,IF(ISNUMBER(K9),K9,J9))&gt;=EVM_Amarillo,"Amarillo","Rojo")))</f>
        <v>Amarillo</v>
      </c>
    </row>
    <row r="10" customFormat="false" ht="15" hidden="false" customHeight="false" outlineLevel="0" collapsed="false">
      <c r="A10" s="50" t="s">
        <v>436</v>
      </c>
      <c r="B10" s="50" t="s">
        <v>121</v>
      </c>
      <c r="C10" s="51" t="n">
        <f aca="false">SUM(C5:C9)</f>
        <v>6500000</v>
      </c>
      <c r="D10" s="51" t="n">
        <f aca="false">SUM(D5:D9)</f>
        <v>2728350</v>
      </c>
      <c r="E10" s="52" t="n">
        <f aca="false">D10/C10</f>
        <v>0.419746153846154</v>
      </c>
      <c r="F10" s="52" t="n">
        <f aca="false">H10/C10</f>
        <v>0.447923076923077</v>
      </c>
      <c r="G10" s="52" t="n">
        <f aca="false">I10/C10</f>
        <v>0.525671463769721</v>
      </c>
      <c r="H10" s="51" t="n">
        <f aca="false">SUM(H5:H9)</f>
        <v>2911500</v>
      </c>
      <c r="I10" s="51" t="n">
        <f aca="false">SUM(I5:I9)</f>
        <v>3416864.51450319</v>
      </c>
      <c r="J10" s="53" t="n">
        <f aca="false">IF(I10=0,"n/a",H10/I10)</f>
        <v>0.852096999351855</v>
      </c>
      <c r="K10" s="53" t="n">
        <f aca="false">IF(D10=0,"n/a",H10/D10)</f>
        <v>1.06712848424872</v>
      </c>
      <c r="L10" s="52" t="n">
        <f aca="false">F10-E10</f>
        <v>0.0281769230769231</v>
      </c>
      <c r="M10" s="54" t="n">
        <f aca="false">SUM(M5:M9)</f>
        <v>24</v>
      </c>
      <c r="N10" s="54" t="n">
        <f aca="false">SUM(N5:N9)</f>
        <v>14</v>
      </c>
      <c r="O10" s="50" t="str">
        <f aca="false">IF(NOT(ISNUMBER(J10)),"Gris",IF(MIN(J10,K10)&gt;=EVM_Verde,"Verde",IF(MIN(J10,K10)&gt;=EVM_Amarillo,"Amarillo","Rojo")))</f>
        <v>Amarillo</v>
      </c>
    </row>
    <row r="12" customFormat="false" ht="15" hidden="false" customHeight="false" outlineLevel="0" collapsed="false">
      <c r="A12" s="55" t="s">
        <v>437</v>
      </c>
    </row>
  </sheetData>
  <conditionalFormatting sqref="O5:O10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"Amarillo"</formula>
    </cfRule>
    <cfRule type="cellIs" priority="4" operator="equal" aboveAverage="0" equalAverage="0" bottom="0" percent="0" rank="0" text="" dxfId="2">
      <formula>"Rojo"</formula>
    </cfRule>
  </conditionalFormatting>
  <conditionalFormatting sqref="J5:K10">
    <cfRule type="expression" priority="5" aboveAverage="0" equalAverage="0" bottom="0" percent="0" rank="0" text="" dxfId="0">
      <formula>AND(ISNUMBER(J5),J5&gt;=EVM_Verde)</formula>
    </cfRule>
    <cfRule type="expression" priority="6" aboveAverage="0" equalAverage="0" bottom="0" percent="0" rank="0" text="" dxfId="1">
      <formula>AND(ISNUMBER(J5),J5&lt;EVM_Verde,J5&gt;=EVM_Amarillo)</formula>
    </cfRule>
    <cfRule type="expression" priority="7" aboveAverage="0" equalAverage="0" bottom="0" percent="0" rank="0" text="" dxfId="2">
      <formula>AND(ISNUMBER(J5),J5&lt;EVM_Amarillo)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T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46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5" min="14" style="0" width="8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8"/>
  </cols>
  <sheetData>
    <row r="1" customFormat="false" ht="24" hidden="false" customHeight="true" outlineLevel="0" collapsed="false">
      <c r="A1" s="1" t="s">
        <v>438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439</v>
      </c>
    </row>
    <row r="4" customFormat="false" ht="43.5" hidden="false" customHeight="true" outlineLevel="0" collapsed="false">
      <c r="A4" s="14" t="s">
        <v>253</v>
      </c>
      <c r="B4" s="14" t="s">
        <v>440</v>
      </c>
      <c r="C4" s="14" t="s">
        <v>441</v>
      </c>
      <c r="D4" s="14" t="s">
        <v>442</v>
      </c>
      <c r="E4" s="14" t="s">
        <v>443</v>
      </c>
      <c r="F4" s="14" t="s">
        <v>444</v>
      </c>
      <c r="G4" s="14" t="s">
        <v>445</v>
      </c>
      <c r="H4" s="14" t="s">
        <v>254</v>
      </c>
      <c r="I4" s="14" t="s">
        <v>446</v>
      </c>
      <c r="J4" s="14" t="s">
        <v>447</v>
      </c>
      <c r="K4" s="14" t="s">
        <v>269</v>
      </c>
      <c r="L4" s="14" t="s">
        <v>448</v>
      </c>
      <c r="M4" s="14" t="s">
        <v>233</v>
      </c>
      <c r="N4" s="14" t="s">
        <v>449</v>
      </c>
      <c r="O4" s="14" t="s">
        <v>450</v>
      </c>
      <c r="P4" s="14" t="s">
        <v>451</v>
      </c>
      <c r="Q4" s="14" t="s">
        <v>452</v>
      </c>
      <c r="R4" s="14" t="s">
        <v>453</v>
      </c>
      <c r="S4" s="14" t="s">
        <v>454</v>
      </c>
      <c r="T4" s="14" t="s">
        <v>455</v>
      </c>
    </row>
    <row r="5" customFormat="false" ht="26.85" hidden="false" customHeight="false" outlineLevel="0" collapsed="false">
      <c r="A5" s="38" t="s">
        <v>456</v>
      </c>
      <c r="B5" s="38" t="s">
        <v>457</v>
      </c>
      <c r="C5" s="39" t="s">
        <v>458</v>
      </c>
      <c r="D5" s="39" t="s">
        <v>459</v>
      </c>
      <c r="E5" s="38" t="n">
        <v>3</v>
      </c>
      <c r="F5" s="38" t="n">
        <v>4</v>
      </c>
      <c r="G5" s="48" t="n">
        <f aca="false">E5*F5</f>
        <v>12</v>
      </c>
      <c r="H5" s="17" t="str">
        <f aca="false">IF(G5&gt;=Riesgo_Alto,"Alto",IF(G5&gt;=Riesgo_Medio,"Medio","Bajo"))</f>
        <v>Medio</v>
      </c>
      <c r="I5" s="38" t="s">
        <v>460</v>
      </c>
      <c r="J5" s="39" t="s">
        <v>461</v>
      </c>
      <c r="K5" s="38" t="s">
        <v>29</v>
      </c>
      <c r="L5" s="44" t="n">
        <v>46660</v>
      </c>
      <c r="M5" s="38" t="s">
        <v>462</v>
      </c>
      <c r="N5" s="38" t="n">
        <v>2</v>
      </c>
      <c r="O5" s="38" t="n">
        <v>3</v>
      </c>
      <c r="P5" s="48" t="n">
        <f aca="false">N5*O5</f>
        <v>6</v>
      </c>
      <c r="Q5" s="17" t="str">
        <f aca="false">IF(P5&gt;=Riesgo_Alto,"Alto",IF(P5&gt;=Riesgo_Medio,"Medio","Bajo"))</f>
        <v>Bajo</v>
      </c>
      <c r="R5" s="48" t="n">
        <f aca="false">IF(M5="Cerrado","",L5-Fecha_Corte)</f>
        <v>92</v>
      </c>
      <c r="S5" s="56" t="n">
        <f aca="false">IF(M5="Cerrado",0,G5+(1000-ROW())/100000)</f>
        <v>12.00995</v>
      </c>
      <c r="T5" s="48" t="n">
        <f aca="false">RANK(S5,$S$5:$S$200)</f>
        <v>4</v>
      </c>
    </row>
    <row r="6" customFormat="false" ht="26.85" hidden="false" customHeight="false" outlineLevel="0" collapsed="false">
      <c r="A6" s="38" t="s">
        <v>463</v>
      </c>
      <c r="B6" s="38" t="s">
        <v>195</v>
      </c>
      <c r="C6" s="39" t="s">
        <v>464</v>
      </c>
      <c r="D6" s="39" t="s">
        <v>465</v>
      </c>
      <c r="E6" s="38" t="n">
        <v>4</v>
      </c>
      <c r="F6" s="38" t="n">
        <v>4</v>
      </c>
      <c r="G6" s="48" t="n">
        <f aca="false">E6*F6</f>
        <v>16</v>
      </c>
      <c r="H6" s="17" t="str">
        <f aca="false">IF(G6&gt;=Riesgo_Alto,"Alto",IF(G6&gt;=Riesgo_Medio,"Medio","Bajo"))</f>
        <v>Alto</v>
      </c>
      <c r="I6" s="38" t="s">
        <v>460</v>
      </c>
      <c r="J6" s="39" t="s">
        <v>466</v>
      </c>
      <c r="K6" s="38" t="s">
        <v>62</v>
      </c>
      <c r="L6" s="44" t="n">
        <v>46599</v>
      </c>
      <c r="M6" s="38" t="s">
        <v>462</v>
      </c>
      <c r="N6" s="38" t="n">
        <v>3</v>
      </c>
      <c r="O6" s="38" t="n">
        <v>3</v>
      </c>
      <c r="P6" s="48" t="n">
        <f aca="false">N6*O6</f>
        <v>9</v>
      </c>
      <c r="Q6" s="17" t="str">
        <f aca="false">IF(P6&gt;=Riesgo_Alto,"Alto",IF(P6&gt;=Riesgo_Medio,"Medio","Bajo"))</f>
        <v>Medio</v>
      </c>
      <c r="R6" s="48" t="n">
        <f aca="false">IF(M6="Cerrado","",L6-Fecha_Corte)</f>
        <v>31</v>
      </c>
      <c r="S6" s="56" t="n">
        <f aca="false">IF(M6="Cerrado",0,G6+(1000-ROW())/100000)</f>
        <v>16.00994</v>
      </c>
      <c r="T6" s="48" t="n">
        <f aca="false">RANK(S6,$S$5:$S$200)</f>
        <v>1</v>
      </c>
    </row>
    <row r="7" customFormat="false" ht="26.85" hidden="false" customHeight="false" outlineLevel="0" collapsed="false">
      <c r="A7" s="38" t="s">
        <v>467</v>
      </c>
      <c r="B7" s="38" t="s">
        <v>195</v>
      </c>
      <c r="C7" s="39" t="s">
        <v>468</v>
      </c>
      <c r="D7" s="39" t="s">
        <v>469</v>
      </c>
      <c r="E7" s="38" t="n">
        <v>4</v>
      </c>
      <c r="F7" s="38" t="n">
        <v>4</v>
      </c>
      <c r="G7" s="48" t="n">
        <f aca="false">E7*F7</f>
        <v>16</v>
      </c>
      <c r="H7" s="17" t="str">
        <f aca="false">IF(G7&gt;=Riesgo_Alto,"Alto",IF(G7&gt;=Riesgo_Medio,"Medio","Bajo"))</f>
        <v>Alto</v>
      </c>
      <c r="I7" s="38" t="s">
        <v>460</v>
      </c>
      <c r="J7" s="39" t="s">
        <v>470</v>
      </c>
      <c r="K7" s="38" t="s">
        <v>29</v>
      </c>
      <c r="L7" s="44" t="n">
        <v>46660</v>
      </c>
      <c r="M7" s="38" t="s">
        <v>471</v>
      </c>
      <c r="N7" s="38" t="n">
        <v>3</v>
      </c>
      <c r="O7" s="38" t="n">
        <v>3</v>
      </c>
      <c r="P7" s="48" t="n">
        <f aca="false">N7*O7</f>
        <v>9</v>
      </c>
      <c r="Q7" s="17" t="str">
        <f aca="false">IF(P7&gt;=Riesgo_Alto,"Alto",IF(P7&gt;=Riesgo_Medio,"Medio","Bajo"))</f>
        <v>Medio</v>
      </c>
      <c r="R7" s="48" t="n">
        <f aca="false">IF(M7="Cerrado","",L7-Fecha_Corte)</f>
        <v>92</v>
      </c>
      <c r="S7" s="56" t="n">
        <f aca="false">IF(M7="Cerrado",0,G7+(1000-ROW())/100000)</f>
        <v>16.00993</v>
      </c>
      <c r="T7" s="48" t="n">
        <f aca="false">RANK(S7,$S$5:$S$200)</f>
        <v>2</v>
      </c>
    </row>
    <row r="8" customFormat="false" ht="26.85" hidden="false" customHeight="false" outlineLevel="0" collapsed="false">
      <c r="A8" s="38" t="s">
        <v>472</v>
      </c>
      <c r="B8" s="38" t="s">
        <v>195</v>
      </c>
      <c r="C8" s="39" t="s">
        <v>473</v>
      </c>
      <c r="D8" s="39" t="s">
        <v>474</v>
      </c>
      <c r="E8" s="38" t="n">
        <v>3</v>
      </c>
      <c r="F8" s="38" t="n">
        <v>4</v>
      </c>
      <c r="G8" s="48" t="n">
        <f aca="false">E8*F8</f>
        <v>12</v>
      </c>
      <c r="H8" s="17" t="str">
        <f aca="false">IF(G8&gt;=Riesgo_Alto,"Alto",IF(G8&gt;=Riesgo_Medio,"Medio","Bajo"))</f>
        <v>Medio</v>
      </c>
      <c r="I8" s="38" t="s">
        <v>460</v>
      </c>
      <c r="J8" s="39" t="s">
        <v>475</v>
      </c>
      <c r="K8" s="38" t="s">
        <v>50</v>
      </c>
      <c r="L8" s="44" t="n">
        <v>46583</v>
      </c>
      <c r="M8" s="38" t="s">
        <v>462</v>
      </c>
      <c r="N8" s="38" t="n">
        <v>2</v>
      </c>
      <c r="O8" s="38" t="n">
        <v>3</v>
      </c>
      <c r="P8" s="48" t="n">
        <f aca="false">N8*O8</f>
        <v>6</v>
      </c>
      <c r="Q8" s="17" t="str">
        <f aca="false">IF(P8&gt;=Riesgo_Alto,"Alto",IF(P8&gt;=Riesgo_Medio,"Medio","Bajo"))</f>
        <v>Bajo</v>
      </c>
      <c r="R8" s="48" t="n">
        <f aca="false">IF(M8="Cerrado","",L8-Fecha_Corte)</f>
        <v>15</v>
      </c>
      <c r="S8" s="56" t="n">
        <f aca="false">IF(M8="Cerrado",0,G8+(1000-ROW())/100000)</f>
        <v>12.00992</v>
      </c>
      <c r="T8" s="48" t="n">
        <f aca="false">RANK(S8,$S$5:$S$200)</f>
        <v>5</v>
      </c>
    </row>
    <row r="9" customFormat="false" ht="26.85" hidden="false" customHeight="false" outlineLevel="0" collapsed="false">
      <c r="A9" s="38" t="s">
        <v>476</v>
      </c>
      <c r="B9" s="38" t="s">
        <v>477</v>
      </c>
      <c r="C9" s="39" t="s">
        <v>478</v>
      </c>
      <c r="D9" s="39" t="s">
        <v>479</v>
      </c>
      <c r="E9" s="38" t="n">
        <v>3</v>
      </c>
      <c r="F9" s="38" t="n">
        <v>4</v>
      </c>
      <c r="G9" s="48" t="n">
        <f aca="false">E9*F9</f>
        <v>12</v>
      </c>
      <c r="H9" s="17" t="str">
        <f aca="false">IF(G9&gt;=Riesgo_Alto,"Alto",IF(G9&gt;=Riesgo_Medio,"Medio","Bajo"))</f>
        <v>Medio</v>
      </c>
      <c r="I9" s="38" t="s">
        <v>460</v>
      </c>
      <c r="J9" s="39" t="s">
        <v>480</v>
      </c>
      <c r="K9" s="38" t="s">
        <v>46</v>
      </c>
      <c r="L9" s="44" t="n">
        <v>46691</v>
      </c>
      <c r="M9" s="38" t="s">
        <v>471</v>
      </c>
      <c r="N9" s="38" t="n">
        <v>2</v>
      </c>
      <c r="O9" s="38" t="n">
        <v>3</v>
      </c>
      <c r="P9" s="48" t="n">
        <f aca="false">N9*O9</f>
        <v>6</v>
      </c>
      <c r="Q9" s="17" t="str">
        <f aca="false">IF(P9&gt;=Riesgo_Alto,"Alto",IF(P9&gt;=Riesgo_Medio,"Medio","Bajo"))</f>
        <v>Bajo</v>
      </c>
      <c r="R9" s="48" t="n">
        <f aca="false">IF(M9="Cerrado","",L9-Fecha_Corte)</f>
        <v>123</v>
      </c>
      <c r="S9" s="56" t="n">
        <f aca="false">IF(M9="Cerrado",0,G9+(1000-ROW())/100000)</f>
        <v>12.00991</v>
      </c>
      <c r="T9" s="48" t="n">
        <f aca="false">RANK(S9,$S$5:$S$200)</f>
        <v>6</v>
      </c>
    </row>
    <row r="10" customFormat="false" ht="26.85" hidden="false" customHeight="false" outlineLevel="0" collapsed="false">
      <c r="A10" s="38" t="s">
        <v>481</v>
      </c>
      <c r="B10" s="38" t="s">
        <v>477</v>
      </c>
      <c r="C10" s="39" t="s">
        <v>482</v>
      </c>
      <c r="D10" s="39" t="s">
        <v>483</v>
      </c>
      <c r="E10" s="38" t="n">
        <v>4</v>
      </c>
      <c r="F10" s="38" t="n">
        <v>3</v>
      </c>
      <c r="G10" s="48" t="n">
        <f aca="false">E10*F10</f>
        <v>12</v>
      </c>
      <c r="H10" s="17" t="str">
        <f aca="false">IF(G10&gt;=Riesgo_Alto,"Alto",IF(G10&gt;=Riesgo_Medio,"Medio","Bajo"))</f>
        <v>Medio</v>
      </c>
      <c r="I10" s="38" t="s">
        <v>460</v>
      </c>
      <c r="J10" s="39" t="s">
        <v>484</v>
      </c>
      <c r="K10" s="38" t="s">
        <v>276</v>
      </c>
      <c r="L10" s="44" t="n">
        <v>46630</v>
      </c>
      <c r="M10" s="38" t="s">
        <v>462</v>
      </c>
      <c r="N10" s="38" t="n">
        <v>3</v>
      </c>
      <c r="O10" s="38" t="n">
        <v>3</v>
      </c>
      <c r="P10" s="48" t="n">
        <f aca="false">N10*O10</f>
        <v>9</v>
      </c>
      <c r="Q10" s="17" t="str">
        <f aca="false">IF(P10&gt;=Riesgo_Alto,"Alto",IF(P10&gt;=Riesgo_Medio,"Medio","Bajo"))</f>
        <v>Medio</v>
      </c>
      <c r="R10" s="48" t="n">
        <f aca="false">IF(M10="Cerrado","",L10-Fecha_Corte)</f>
        <v>62</v>
      </c>
      <c r="S10" s="56" t="n">
        <f aca="false">IF(M10="Cerrado",0,G10+(1000-ROW())/100000)</f>
        <v>12.0099</v>
      </c>
      <c r="T10" s="48" t="n">
        <f aca="false">RANK(S10,$S$5:$S$200)</f>
        <v>7</v>
      </c>
    </row>
    <row r="11" customFormat="false" ht="26.85" hidden="false" customHeight="false" outlineLevel="0" collapsed="false">
      <c r="A11" s="38" t="s">
        <v>485</v>
      </c>
      <c r="B11" s="38" t="s">
        <v>457</v>
      </c>
      <c r="C11" s="39" t="s">
        <v>486</v>
      </c>
      <c r="D11" s="39" t="s">
        <v>487</v>
      </c>
      <c r="E11" s="38" t="n">
        <v>3</v>
      </c>
      <c r="F11" s="38" t="n">
        <v>3</v>
      </c>
      <c r="G11" s="48" t="n">
        <f aca="false">E11*F11</f>
        <v>9</v>
      </c>
      <c r="H11" s="17" t="str">
        <f aca="false">IF(G11&gt;=Riesgo_Alto,"Alto",IF(G11&gt;=Riesgo_Medio,"Medio","Bajo"))</f>
        <v>Medio</v>
      </c>
      <c r="I11" s="38" t="s">
        <v>460</v>
      </c>
      <c r="J11" s="39" t="s">
        <v>488</v>
      </c>
      <c r="K11" s="38" t="s">
        <v>29</v>
      </c>
      <c r="L11" s="44" t="n">
        <v>46660</v>
      </c>
      <c r="M11" s="38" t="s">
        <v>471</v>
      </c>
      <c r="N11" s="38" t="n">
        <v>2</v>
      </c>
      <c r="O11" s="38" t="n">
        <v>3</v>
      </c>
      <c r="P11" s="48" t="n">
        <f aca="false">N11*O11</f>
        <v>6</v>
      </c>
      <c r="Q11" s="17" t="str">
        <f aca="false">IF(P11&gt;=Riesgo_Alto,"Alto",IF(P11&gt;=Riesgo_Medio,"Medio","Bajo"))</f>
        <v>Bajo</v>
      </c>
      <c r="R11" s="48" t="n">
        <f aca="false">IF(M11="Cerrado","",L11-Fecha_Corte)</f>
        <v>92</v>
      </c>
      <c r="S11" s="56" t="n">
        <f aca="false">IF(M11="Cerrado",0,G11+(1000-ROW())/100000)</f>
        <v>9.00989</v>
      </c>
      <c r="T11" s="48" t="n">
        <f aca="false">RANK(S11,$S$5:$S$200)</f>
        <v>11</v>
      </c>
    </row>
    <row r="12" customFormat="false" ht="26.85" hidden="false" customHeight="false" outlineLevel="0" collapsed="false">
      <c r="A12" s="38" t="s">
        <v>489</v>
      </c>
      <c r="B12" s="38" t="s">
        <v>490</v>
      </c>
      <c r="C12" s="39" t="s">
        <v>491</v>
      </c>
      <c r="D12" s="39" t="s">
        <v>492</v>
      </c>
      <c r="E12" s="38" t="n">
        <v>3</v>
      </c>
      <c r="F12" s="38" t="n">
        <v>5</v>
      </c>
      <c r="G12" s="48" t="n">
        <f aca="false">E12*F12</f>
        <v>15</v>
      </c>
      <c r="H12" s="17" t="str">
        <f aca="false">IF(G12&gt;=Riesgo_Alto,"Alto",IF(G12&gt;=Riesgo_Medio,"Medio","Bajo"))</f>
        <v>Alto</v>
      </c>
      <c r="I12" s="38" t="s">
        <v>460</v>
      </c>
      <c r="J12" s="39" t="s">
        <v>493</v>
      </c>
      <c r="K12" s="38" t="s">
        <v>46</v>
      </c>
      <c r="L12" s="44" t="n">
        <v>46630</v>
      </c>
      <c r="M12" s="38" t="s">
        <v>462</v>
      </c>
      <c r="N12" s="38" t="n">
        <v>2</v>
      </c>
      <c r="O12" s="38" t="n">
        <v>4</v>
      </c>
      <c r="P12" s="48" t="n">
        <f aca="false">N12*O12</f>
        <v>8</v>
      </c>
      <c r="Q12" s="17" t="str">
        <f aca="false">IF(P12&gt;=Riesgo_Alto,"Alto",IF(P12&gt;=Riesgo_Medio,"Medio","Bajo"))</f>
        <v>Medio</v>
      </c>
      <c r="R12" s="48" t="n">
        <f aca="false">IF(M12="Cerrado","",L12-Fecha_Corte)</f>
        <v>62</v>
      </c>
      <c r="S12" s="56" t="n">
        <f aca="false">IF(M12="Cerrado",0,G12+(1000-ROW())/100000)</f>
        <v>15.00988</v>
      </c>
      <c r="T12" s="48" t="n">
        <f aca="false">RANK(S12,$S$5:$S$200)</f>
        <v>3</v>
      </c>
    </row>
    <row r="13" customFormat="false" ht="26.85" hidden="false" customHeight="false" outlineLevel="0" collapsed="false">
      <c r="A13" s="38" t="s">
        <v>494</v>
      </c>
      <c r="B13" s="38" t="s">
        <v>490</v>
      </c>
      <c r="C13" s="39" t="s">
        <v>495</v>
      </c>
      <c r="D13" s="39" t="s">
        <v>496</v>
      </c>
      <c r="E13" s="38" t="n">
        <v>2</v>
      </c>
      <c r="F13" s="38" t="n">
        <v>5</v>
      </c>
      <c r="G13" s="48" t="n">
        <f aca="false">E13*F13</f>
        <v>10</v>
      </c>
      <c r="H13" s="17" t="str">
        <f aca="false">IF(G13&gt;=Riesgo_Alto,"Alto",IF(G13&gt;=Riesgo_Medio,"Medio","Bajo"))</f>
        <v>Medio</v>
      </c>
      <c r="I13" s="38" t="s">
        <v>460</v>
      </c>
      <c r="J13" s="39" t="s">
        <v>497</v>
      </c>
      <c r="K13" s="38" t="s">
        <v>46</v>
      </c>
      <c r="L13" s="44" t="n">
        <v>46599</v>
      </c>
      <c r="M13" s="38" t="s">
        <v>462</v>
      </c>
      <c r="N13" s="38" t="n">
        <v>1</v>
      </c>
      <c r="O13" s="38" t="n">
        <v>5</v>
      </c>
      <c r="P13" s="48" t="n">
        <f aca="false">N13*O13</f>
        <v>5</v>
      </c>
      <c r="Q13" s="17" t="str">
        <f aca="false">IF(P13&gt;=Riesgo_Alto,"Alto",IF(P13&gt;=Riesgo_Medio,"Medio","Bajo"))</f>
        <v>Bajo</v>
      </c>
      <c r="R13" s="48" t="n">
        <f aca="false">IF(M13="Cerrado","",L13-Fecha_Corte)</f>
        <v>31</v>
      </c>
      <c r="S13" s="56" t="n">
        <f aca="false">IF(M13="Cerrado",0,G13+(1000-ROW())/100000)</f>
        <v>10.00987</v>
      </c>
      <c r="T13" s="48" t="n">
        <f aca="false">RANK(S13,$S$5:$S$200)</f>
        <v>10</v>
      </c>
    </row>
    <row r="14" customFormat="false" ht="26.85" hidden="false" customHeight="false" outlineLevel="0" collapsed="false">
      <c r="A14" s="38" t="s">
        <v>498</v>
      </c>
      <c r="B14" s="38" t="s">
        <v>267</v>
      </c>
      <c r="C14" s="39" t="s">
        <v>499</v>
      </c>
      <c r="D14" s="39" t="s">
        <v>500</v>
      </c>
      <c r="E14" s="38" t="n">
        <v>2</v>
      </c>
      <c r="F14" s="38" t="n">
        <v>4</v>
      </c>
      <c r="G14" s="48" t="n">
        <f aca="false">E14*F14</f>
        <v>8</v>
      </c>
      <c r="H14" s="17" t="str">
        <f aca="false">IF(G14&gt;=Riesgo_Alto,"Alto",IF(G14&gt;=Riesgo_Medio,"Medio","Bajo"))</f>
        <v>Medio</v>
      </c>
      <c r="I14" s="38" t="s">
        <v>460</v>
      </c>
      <c r="J14" s="39" t="s">
        <v>501</v>
      </c>
      <c r="K14" s="38" t="s">
        <v>276</v>
      </c>
      <c r="L14" s="44" t="n">
        <v>46599</v>
      </c>
      <c r="M14" s="38" t="s">
        <v>462</v>
      </c>
      <c r="N14" s="38" t="n">
        <v>1</v>
      </c>
      <c r="O14" s="38" t="n">
        <v>4</v>
      </c>
      <c r="P14" s="48" t="n">
        <f aca="false">N14*O14</f>
        <v>4</v>
      </c>
      <c r="Q14" s="17" t="str">
        <f aca="false">IF(P14&gt;=Riesgo_Alto,"Alto",IF(P14&gt;=Riesgo_Medio,"Medio","Bajo"))</f>
        <v>Bajo</v>
      </c>
      <c r="R14" s="48" t="n">
        <f aca="false">IF(M14="Cerrado","",L14-Fecha_Corte)</f>
        <v>31</v>
      </c>
      <c r="S14" s="56" t="n">
        <f aca="false">IF(M14="Cerrado",0,G14+(1000-ROW())/100000)</f>
        <v>8.00986</v>
      </c>
      <c r="T14" s="48" t="n">
        <f aca="false">RANK(S14,$S$5:$S$200)</f>
        <v>13</v>
      </c>
    </row>
    <row r="15" customFormat="false" ht="26.85" hidden="false" customHeight="false" outlineLevel="0" collapsed="false">
      <c r="A15" s="38" t="s">
        <v>502</v>
      </c>
      <c r="B15" s="38" t="s">
        <v>267</v>
      </c>
      <c r="C15" s="39" t="s">
        <v>503</v>
      </c>
      <c r="D15" s="39" t="s">
        <v>504</v>
      </c>
      <c r="E15" s="38" t="n">
        <v>1</v>
      </c>
      <c r="F15" s="38" t="n">
        <v>4</v>
      </c>
      <c r="G15" s="48" t="n">
        <f aca="false">E15*F15</f>
        <v>4</v>
      </c>
      <c r="H15" s="17" t="str">
        <f aca="false">IF(G15&gt;=Riesgo_Alto,"Alto",IF(G15&gt;=Riesgo_Medio,"Medio","Bajo"))</f>
        <v>Bajo</v>
      </c>
      <c r="I15" s="38" t="s">
        <v>505</v>
      </c>
      <c r="J15" s="39" t="s">
        <v>506</v>
      </c>
      <c r="K15" s="38" t="s">
        <v>29</v>
      </c>
      <c r="L15" s="44" t="n">
        <v>46752</v>
      </c>
      <c r="M15" s="38" t="s">
        <v>471</v>
      </c>
      <c r="N15" s="38" t="n">
        <v>1</v>
      </c>
      <c r="O15" s="38" t="n">
        <v>4</v>
      </c>
      <c r="P15" s="48" t="n">
        <f aca="false">N15*O15</f>
        <v>4</v>
      </c>
      <c r="Q15" s="17" t="str">
        <f aca="false">IF(P15&gt;=Riesgo_Alto,"Alto",IF(P15&gt;=Riesgo_Medio,"Medio","Bajo"))</f>
        <v>Bajo</v>
      </c>
      <c r="R15" s="48" t="n">
        <f aca="false">IF(M15="Cerrado","",L15-Fecha_Corte)</f>
        <v>184</v>
      </c>
      <c r="S15" s="56" t="n">
        <f aca="false">IF(M15="Cerrado",0,G15+(1000-ROW())/100000)</f>
        <v>4.00985</v>
      </c>
      <c r="T15" s="48" t="n">
        <f aca="false">RANK(S15,$S$5:$S$200)</f>
        <v>15</v>
      </c>
    </row>
    <row r="16" customFormat="false" ht="26.85" hidden="false" customHeight="false" outlineLevel="0" collapsed="false">
      <c r="A16" s="38" t="s">
        <v>507</v>
      </c>
      <c r="B16" s="38" t="s">
        <v>508</v>
      </c>
      <c r="C16" s="39" t="s">
        <v>509</v>
      </c>
      <c r="D16" s="39" t="s">
        <v>510</v>
      </c>
      <c r="E16" s="38" t="n">
        <v>2</v>
      </c>
      <c r="F16" s="38" t="n">
        <v>4</v>
      </c>
      <c r="G16" s="48" t="n">
        <f aca="false">E16*F16</f>
        <v>8</v>
      </c>
      <c r="H16" s="17" t="str">
        <f aca="false">IF(G16&gt;=Riesgo_Alto,"Alto",IF(G16&gt;=Riesgo_Medio,"Medio","Bajo"))</f>
        <v>Medio</v>
      </c>
      <c r="I16" s="38" t="s">
        <v>511</v>
      </c>
      <c r="J16" s="39" t="s">
        <v>512</v>
      </c>
      <c r="K16" s="38" t="s">
        <v>29</v>
      </c>
      <c r="L16" s="44" t="n">
        <v>46752</v>
      </c>
      <c r="M16" s="38" t="s">
        <v>471</v>
      </c>
      <c r="N16" s="38" t="n">
        <v>2</v>
      </c>
      <c r="O16" s="38" t="n">
        <v>4</v>
      </c>
      <c r="P16" s="48" t="n">
        <f aca="false">N16*O16</f>
        <v>8</v>
      </c>
      <c r="Q16" s="17" t="str">
        <f aca="false">IF(P16&gt;=Riesgo_Alto,"Alto",IF(P16&gt;=Riesgo_Medio,"Medio","Bajo"))</f>
        <v>Medio</v>
      </c>
      <c r="R16" s="48" t="n">
        <f aca="false">IF(M16="Cerrado","",L16-Fecha_Corte)</f>
        <v>184</v>
      </c>
      <c r="S16" s="56" t="n">
        <f aca="false">IF(M16="Cerrado",0,G16+(1000-ROW())/100000)</f>
        <v>8.00984</v>
      </c>
      <c r="T16" s="48" t="n">
        <f aca="false">RANK(S16,$S$5:$S$200)</f>
        <v>14</v>
      </c>
    </row>
    <row r="17" customFormat="false" ht="26.85" hidden="false" customHeight="false" outlineLevel="0" collapsed="false">
      <c r="A17" s="38" t="s">
        <v>513</v>
      </c>
      <c r="B17" s="38" t="s">
        <v>508</v>
      </c>
      <c r="C17" s="39" t="s">
        <v>514</v>
      </c>
      <c r="D17" s="39" t="s">
        <v>515</v>
      </c>
      <c r="E17" s="38" t="n">
        <v>3</v>
      </c>
      <c r="F17" s="38" t="n">
        <v>3</v>
      </c>
      <c r="G17" s="48" t="n">
        <f aca="false">E17*F17</f>
        <v>9</v>
      </c>
      <c r="H17" s="17" t="str">
        <f aca="false">IF(G17&gt;=Riesgo_Alto,"Alto",IF(G17&gt;=Riesgo_Medio,"Medio","Bajo"))</f>
        <v>Medio</v>
      </c>
      <c r="I17" s="38" t="s">
        <v>460</v>
      </c>
      <c r="J17" s="39" t="s">
        <v>516</v>
      </c>
      <c r="K17" s="38" t="s">
        <v>46</v>
      </c>
      <c r="L17" s="44" t="n">
        <v>46675</v>
      </c>
      <c r="M17" s="38" t="s">
        <v>471</v>
      </c>
      <c r="N17" s="38" t="n">
        <v>3</v>
      </c>
      <c r="O17" s="38" t="n">
        <v>2</v>
      </c>
      <c r="P17" s="48" t="n">
        <f aca="false">N17*O17</f>
        <v>6</v>
      </c>
      <c r="Q17" s="17" t="str">
        <f aca="false">IF(P17&gt;=Riesgo_Alto,"Alto",IF(P17&gt;=Riesgo_Medio,"Medio","Bajo"))</f>
        <v>Bajo</v>
      </c>
      <c r="R17" s="48" t="n">
        <f aca="false">IF(M17="Cerrado","",L17-Fecha_Corte)</f>
        <v>107</v>
      </c>
      <c r="S17" s="56" t="n">
        <f aca="false">IF(M17="Cerrado",0,G17+(1000-ROW())/100000)</f>
        <v>9.00983</v>
      </c>
      <c r="T17" s="48" t="n">
        <f aca="false">RANK(S17,$S$5:$S$200)</f>
        <v>12</v>
      </c>
    </row>
    <row r="18" customFormat="false" ht="26.85" hidden="false" customHeight="false" outlineLevel="0" collapsed="false">
      <c r="A18" s="38" t="s">
        <v>517</v>
      </c>
      <c r="B18" s="38" t="s">
        <v>195</v>
      </c>
      <c r="C18" s="39" t="s">
        <v>518</v>
      </c>
      <c r="D18" s="39" t="s">
        <v>519</v>
      </c>
      <c r="E18" s="38" t="n">
        <v>3</v>
      </c>
      <c r="F18" s="38" t="n">
        <v>4</v>
      </c>
      <c r="G18" s="48" t="n">
        <f aca="false">E18*F18</f>
        <v>12</v>
      </c>
      <c r="H18" s="17" t="str">
        <f aca="false">IF(G18&gt;=Riesgo_Alto,"Alto",IF(G18&gt;=Riesgo_Medio,"Medio","Bajo"))</f>
        <v>Medio</v>
      </c>
      <c r="I18" s="38" t="s">
        <v>460</v>
      </c>
      <c r="J18" s="39" t="s">
        <v>520</v>
      </c>
      <c r="K18" s="38" t="s">
        <v>50</v>
      </c>
      <c r="L18" s="44" t="n">
        <v>46583</v>
      </c>
      <c r="M18" s="38" t="s">
        <v>462</v>
      </c>
      <c r="N18" s="38" t="n">
        <v>2</v>
      </c>
      <c r="O18" s="38" t="n">
        <v>3</v>
      </c>
      <c r="P18" s="48" t="n">
        <f aca="false">N18*O18</f>
        <v>6</v>
      </c>
      <c r="Q18" s="17" t="str">
        <f aca="false">IF(P18&gt;=Riesgo_Alto,"Alto",IF(P18&gt;=Riesgo_Medio,"Medio","Bajo"))</f>
        <v>Bajo</v>
      </c>
      <c r="R18" s="48" t="n">
        <f aca="false">IF(M18="Cerrado","",L18-Fecha_Corte)</f>
        <v>15</v>
      </c>
      <c r="S18" s="56" t="n">
        <f aca="false">IF(M18="Cerrado",0,G18+(1000-ROW())/100000)</f>
        <v>12.00982</v>
      </c>
      <c r="T18" s="48" t="n">
        <f aca="false">RANK(S18,$S$5:$S$200)</f>
        <v>8</v>
      </c>
    </row>
    <row r="19" customFormat="false" ht="26.85" hidden="false" customHeight="false" outlineLevel="0" collapsed="false">
      <c r="A19" s="38" t="s">
        <v>521</v>
      </c>
      <c r="B19" s="38" t="s">
        <v>477</v>
      </c>
      <c r="C19" s="39" t="s">
        <v>522</v>
      </c>
      <c r="D19" s="39" t="s">
        <v>523</v>
      </c>
      <c r="E19" s="38" t="n">
        <v>3</v>
      </c>
      <c r="F19" s="38" t="n">
        <v>4</v>
      </c>
      <c r="G19" s="48" t="n">
        <f aca="false">E19*F19</f>
        <v>12</v>
      </c>
      <c r="H19" s="17" t="str">
        <f aca="false">IF(G19&gt;=Riesgo_Alto,"Alto",IF(G19&gt;=Riesgo_Medio,"Medio","Bajo"))</f>
        <v>Medio</v>
      </c>
      <c r="I19" s="38" t="s">
        <v>460</v>
      </c>
      <c r="J19" s="39" t="s">
        <v>524</v>
      </c>
      <c r="K19" s="38" t="s">
        <v>276</v>
      </c>
      <c r="L19" s="44" t="n">
        <v>46583</v>
      </c>
      <c r="M19" s="38" t="s">
        <v>462</v>
      </c>
      <c r="N19" s="38" t="n">
        <v>2</v>
      </c>
      <c r="O19" s="38" t="n">
        <v>3</v>
      </c>
      <c r="P19" s="48" t="n">
        <f aca="false">N19*O19</f>
        <v>6</v>
      </c>
      <c r="Q19" s="17" t="str">
        <f aca="false">IF(P19&gt;=Riesgo_Alto,"Alto",IF(P19&gt;=Riesgo_Medio,"Medio","Bajo"))</f>
        <v>Bajo</v>
      </c>
      <c r="R19" s="48" t="n">
        <f aca="false">IF(M19="Cerrado","",L19-Fecha_Corte)</f>
        <v>15</v>
      </c>
      <c r="S19" s="56" t="n">
        <f aca="false">IF(M19="Cerrado",0,G19+(1000-ROW())/100000)</f>
        <v>12.00981</v>
      </c>
      <c r="T19" s="48" t="n">
        <f aca="false">RANK(S19,$S$5:$S$200)</f>
        <v>9</v>
      </c>
    </row>
  </sheetData>
  <autoFilter ref="A4:T19"/>
  <conditionalFormatting sqref="H5:H200">
    <cfRule type="cellIs" priority="2" operator="equal" aboveAverage="0" equalAverage="0" bottom="0" percent="0" rank="0" text="" dxfId="0">
      <formula>"Bajo"</formula>
    </cfRule>
    <cfRule type="cellIs" priority="3" operator="equal" aboveAverage="0" equalAverage="0" bottom="0" percent="0" rank="0" text="" dxfId="1">
      <formula>"Medio"</formula>
    </cfRule>
    <cfRule type="cellIs" priority="4" operator="equal" aboveAverage="0" equalAverage="0" bottom="0" percent="0" rank="0" text="" dxfId="2">
      <formula>"Alto"</formula>
    </cfRule>
  </conditionalFormatting>
  <conditionalFormatting sqref="Q5:Q200">
    <cfRule type="cellIs" priority="5" operator="equal" aboveAverage="0" equalAverage="0" bottom="0" percent="0" rank="0" text="" dxfId="0">
      <formula>"Bajo"</formula>
    </cfRule>
    <cfRule type="cellIs" priority="6" operator="equal" aboveAverage="0" equalAverage="0" bottom="0" percent="0" rank="0" text="" dxfId="1">
      <formula>"Medio"</formula>
    </cfRule>
    <cfRule type="cellIs" priority="7" operator="equal" aboveAverage="0" equalAverage="0" bottom="0" percent="0" rank="0" text="" dxfId="2">
      <formula>"Alto"</formula>
    </cfRule>
  </conditionalFormatting>
  <dataValidations count="8">
    <dataValidation allowBlank="true" error="Valor no válido" errorStyle="stop" errorTitle="Seleccione un valor de la lista" operator="between" showDropDown="false" showErrorMessage="false" showInputMessage="false" sqref="B5:B200" type="list">
      <formula1>Listas!$P$5:$P$10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I5:I200" type="list">
      <formula1>Listas!$Q$5:$Q$8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K5:K200" type="list">
      <formula1>Listas!$V$5:$V$11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M5:M200" type="list">
      <formula1>Listas!$O$5:$O$7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E5:E200" type="list">
      <formula1>Listas!$T$5:$T$9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F5:F200" type="list">
      <formula1>Listas!$T$5:$T$9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N5:N200" type="list">
      <formula1>Listas!$T$5:$T$9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O5:O200" type="list">
      <formula1>Listas!$T$5:$T$9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8"/>
  </cols>
  <sheetData>
    <row r="1" customFormat="false" ht="24" hidden="false" customHeight="true" outlineLevel="0" collapsed="false">
      <c r="A1" s="1" t="s">
        <v>525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526</v>
      </c>
    </row>
    <row r="4" customFormat="false" ht="57.75" hidden="false" customHeight="true" outlineLevel="0" collapsed="false">
      <c r="A4" s="14" t="s">
        <v>527</v>
      </c>
      <c r="B4" s="14" t="s">
        <v>528</v>
      </c>
      <c r="C4" s="14" t="s">
        <v>529</v>
      </c>
      <c r="D4" s="14" t="s">
        <v>530</v>
      </c>
      <c r="E4" s="14" t="s">
        <v>531</v>
      </c>
      <c r="F4" s="14" t="s">
        <v>259</v>
      </c>
      <c r="G4" s="14" t="s">
        <v>532</v>
      </c>
      <c r="H4" s="14" t="s">
        <v>533</v>
      </c>
      <c r="I4" s="14" t="s">
        <v>534</v>
      </c>
      <c r="J4" s="14" t="s">
        <v>535</v>
      </c>
      <c r="K4" s="14" t="s">
        <v>536</v>
      </c>
      <c r="L4" s="14" t="s">
        <v>537</v>
      </c>
      <c r="M4" s="14" t="s">
        <v>538</v>
      </c>
      <c r="N4" s="14" t="s">
        <v>539</v>
      </c>
      <c r="O4" s="14" t="s">
        <v>540</v>
      </c>
      <c r="P4" s="14" t="s">
        <v>541</v>
      </c>
      <c r="Q4" s="14" t="s">
        <v>542</v>
      </c>
      <c r="R4" s="14" t="s">
        <v>455</v>
      </c>
    </row>
    <row r="5" customFormat="false" ht="15" hidden="false" customHeight="false" outlineLevel="0" collapsed="false">
      <c r="A5" s="15" t="s">
        <v>543</v>
      </c>
      <c r="B5" s="15" t="s">
        <v>544</v>
      </c>
      <c r="C5" s="57" t="n">
        <v>0.06</v>
      </c>
      <c r="D5" s="57" t="n">
        <v>0.72</v>
      </c>
      <c r="E5" s="42" t="n">
        <v>4070</v>
      </c>
      <c r="F5" s="43" t="n">
        <f aca="false">ROUND(E5*Pct_Anio1_Benef,0)</f>
        <v>407</v>
      </c>
      <c r="G5" s="42" t="n">
        <v>116</v>
      </c>
      <c r="H5" s="42" t="n">
        <v>13</v>
      </c>
      <c r="I5" s="42" t="n">
        <v>4</v>
      </c>
      <c r="J5" s="42" t="n">
        <v>3</v>
      </c>
      <c r="K5" s="41" t="n">
        <f aca="false">IF(F5=0,0,G5/F5)</f>
        <v>0.285012285012285</v>
      </c>
      <c r="L5" s="47" t="n">
        <f aca="false">C5/MAX($C$5:$C$18)</f>
        <v>0.272727272727273</v>
      </c>
      <c r="M5" s="47" t="n">
        <f aca="false">1-MIN(1,K5)</f>
        <v>0.714987714987715</v>
      </c>
      <c r="N5" s="47" t="n">
        <f aca="false">W_Vuln*D5+W_Pob*L5+W_Brecha*M5</f>
        <v>0.629041769041769</v>
      </c>
      <c r="O5" s="17" t="str">
        <f aca="false">IF(N5&gt;=Prior_Alta,"Alta",IF(N5&gt;=Prior_Media,"Media","Baja"))</f>
        <v>Alta</v>
      </c>
      <c r="P5" s="46" t="n">
        <f aca="false">SUMIFS(F2_Ejecucion!$J$5:$J$500,F2_Ejecucion!$F$5:$F$500,A5)</f>
        <v>50000</v>
      </c>
      <c r="Q5" s="46" t="n">
        <f aca="false">IF(G5=0,"",P5/G5)</f>
        <v>431.034482758621</v>
      </c>
      <c r="R5" s="48" t="n">
        <f aca="false">RANK(N5,$N$5:$N$18)</f>
        <v>2</v>
      </c>
    </row>
    <row r="6" customFormat="false" ht="15" hidden="false" customHeight="false" outlineLevel="0" collapsed="false">
      <c r="A6" s="15" t="s">
        <v>545</v>
      </c>
      <c r="B6" s="15" t="s">
        <v>546</v>
      </c>
      <c r="C6" s="57" t="n">
        <v>0.03</v>
      </c>
      <c r="D6" s="57" t="n">
        <v>0.76</v>
      </c>
      <c r="E6" s="42" t="n">
        <v>2090</v>
      </c>
      <c r="F6" s="43" t="n">
        <f aca="false">ROUND(E6*Pct_Anio1_Benef,0)</f>
        <v>209</v>
      </c>
      <c r="G6" s="42" t="n">
        <v>57</v>
      </c>
      <c r="H6" s="42" t="n">
        <v>5</v>
      </c>
      <c r="I6" s="42" t="n">
        <v>2</v>
      </c>
      <c r="J6" s="42" t="n">
        <v>2</v>
      </c>
      <c r="K6" s="41" t="n">
        <f aca="false">IF(F6=0,0,G6/F6)</f>
        <v>0.272727272727273</v>
      </c>
      <c r="L6" s="47" t="n">
        <f aca="false">C6/MAX($C$5:$C$18)</f>
        <v>0.136363636363636</v>
      </c>
      <c r="M6" s="47" t="n">
        <f aca="false">1-MIN(1,K6)</f>
        <v>0.727272727272727</v>
      </c>
      <c r="N6" s="47" t="n">
        <f aca="false">W_Vuln*D6+W_Pob*L6+W_Brecha*M6</f>
        <v>0.625454545454546</v>
      </c>
      <c r="O6" s="17" t="str">
        <f aca="false">IF(N6&gt;=Prior_Alta,"Alta",IF(N6&gt;=Prior_Media,"Media","Baja"))</f>
        <v>Alta</v>
      </c>
      <c r="P6" s="46" t="n">
        <f aca="false">SUMIFS(F2_Ejecucion!$J$5:$J$500,F2_Ejecucion!$F$5:$F$500,A6)</f>
        <v>7900</v>
      </c>
      <c r="Q6" s="46" t="n">
        <f aca="false">IF(G6=0,"",P6/G6)</f>
        <v>138.59649122807</v>
      </c>
      <c r="R6" s="48" t="n">
        <f aca="false">RANK(N6,$N$5:$N$18)</f>
        <v>3</v>
      </c>
    </row>
    <row r="7" customFormat="false" ht="15" hidden="false" customHeight="false" outlineLevel="0" collapsed="false">
      <c r="A7" s="15" t="s">
        <v>547</v>
      </c>
      <c r="B7" s="15" t="s">
        <v>548</v>
      </c>
      <c r="C7" s="57" t="n">
        <v>0.04</v>
      </c>
      <c r="D7" s="57" t="n">
        <v>0.7</v>
      </c>
      <c r="E7" s="42" t="n">
        <v>2680</v>
      </c>
      <c r="F7" s="43" t="n">
        <f aca="false">ROUND(E7*Pct_Anio1_Benef,0)</f>
        <v>268</v>
      </c>
      <c r="G7" s="42" t="n">
        <v>98</v>
      </c>
      <c r="H7" s="42" t="n">
        <v>8</v>
      </c>
      <c r="I7" s="42" t="n">
        <v>4</v>
      </c>
      <c r="J7" s="42" t="n">
        <v>3</v>
      </c>
      <c r="K7" s="41" t="n">
        <f aca="false">IF(F7=0,0,G7/F7)</f>
        <v>0.365671641791045</v>
      </c>
      <c r="L7" s="47" t="n">
        <f aca="false">C7/MAX($C$5:$C$18)</f>
        <v>0.181818181818182</v>
      </c>
      <c r="M7" s="47" t="n">
        <f aca="false">1-MIN(1,K7)</f>
        <v>0.634328358208955</v>
      </c>
      <c r="N7" s="47" t="n">
        <f aca="false">W_Vuln*D7+W_Pob*L7+W_Brecha*M7</f>
        <v>0.576662143826323</v>
      </c>
      <c r="O7" s="17" t="str">
        <f aca="false">IF(N7&gt;=Prior_Alta,"Alta",IF(N7&gt;=Prior_Media,"Media","Baja"))</f>
        <v>Media</v>
      </c>
      <c r="P7" s="46" t="n">
        <f aca="false">SUMIFS(F2_Ejecucion!$J$5:$J$500,F2_Ejecucion!$F$5:$F$500,A7)</f>
        <v>13590</v>
      </c>
      <c r="Q7" s="46" t="n">
        <f aca="false">IF(G7=0,"",P7/G7)</f>
        <v>138.673469387755</v>
      </c>
      <c r="R7" s="48" t="n">
        <f aca="false">RANK(N7,$N$5:$N$18)</f>
        <v>5</v>
      </c>
    </row>
    <row r="8" customFormat="false" ht="15" hidden="false" customHeight="false" outlineLevel="0" collapsed="false">
      <c r="A8" s="15" t="s">
        <v>549</v>
      </c>
      <c r="B8" s="15" t="s">
        <v>550</v>
      </c>
      <c r="C8" s="57" t="n">
        <v>0.04</v>
      </c>
      <c r="D8" s="57" t="n">
        <v>0.52</v>
      </c>
      <c r="E8" s="42" t="n">
        <v>2340</v>
      </c>
      <c r="F8" s="43" t="n">
        <f aca="false">ROUND(E8*Pct_Anio1_Benef,0)</f>
        <v>234</v>
      </c>
      <c r="G8" s="42" t="n">
        <v>96</v>
      </c>
      <c r="H8" s="42" t="n">
        <v>10</v>
      </c>
      <c r="I8" s="42" t="n">
        <v>4</v>
      </c>
      <c r="J8" s="42" t="n">
        <v>2</v>
      </c>
      <c r="K8" s="41" t="n">
        <f aca="false">IF(F8=0,0,G8/F8)</f>
        <v>0.41025641025641</v>
      </c>
      <c r="L8" s="47" t="n">
        <f aca="false">C8/MAX($C$5:$C$18)</f>
        <v>0.181818181818182</v>
      </c>
      <c r="M8" s="47" t="n">
        <f aca="false">1-MIN(1,K8)</f>
        <v>0.58974358974359</v>
      </c>
      <c r="N8" s="47" t="n">
        <f aca="false">W_Vuln*D8+W_Pob*L8+W_Brecha*M8</f>
        <v>0.473286713286713</v>
      </c>
      <c r="O8" s="17" t="str">
        <f aca="false">IF(N8&gt;=Prior_Alta,"Alta",IF(N8&gt;=Prior_Media,"Media","Baja"))</f>
        <v>Media</v>
      </c>
      <c r="P8" s="46" t="n">
        <f aca="false">SUMIFS(F2_Ejecucion!$J$5:$J$500,F2_Ejecucion!$F$5:$F$500,A8)</f>
        <v>32200</v>
      </c>
      <c r="Q8" s="46" t="n">
        <f aca="false">IF(G8=0,"",P8/G8)</f>
        <v>335.416666666667</v>
      </c>
      <c r="R8" s="48" t="n">
        <f aca="false">RANK(N8,$N$5:$N$18)</f>
        <v>13</v>
      </c>
    </row>
    <row r="9" customFormat="false" ht="15" hidden="false" customHeight="false" outlineLevel="0" collapsed="false">
      <c r="A9" s="15" t="s">
        <v>551</v>
      </c>
      <c r="B9" s="15" t="s">
        <v>552</v>
      </c>
      <c r="C9" s="57" t="n">
        <v>0.12</v>
      </c>
      <c r="D9" s="57" t="n">
        <v>0.42</v>
      </c>
      <c r="E9" s="42" t="n">
        <v>6480</v>
      </c>
      <c r="F9" s="43" t="n">
        <f aca="false">ROUND(E9*Pct_Anio1_Benef,0)</f>
        <v>648</v>
      </c>
      <c r="G9" s="42" t="n">
        <v>315</v>
      </c>
      <c r="H9" s="42" t="n">
        <v>32</v>
      </c>
      <c r="I9" s="42" t="n">
        <v>12</v>
      </c>
      <c r="J9" s="42" t="n">
        <v>8</v>
      </c>
      <c r="K9" s="41" t="n">
        <f aca="false">IF(F9=0,0,G9/F9)</f>
        <v>0.486111111111111</v>
      </c>
      <c r="L9" s="47" t="n">
        <f aca="false">C9/MAX($C$5:$C$18)</f>
        <v>0.545454545454545</v>
      </c>
      <c r="M9" s="47" t="n">
        <f aca="false">1-MIN(1,K9)</f>
        <v>0.513888888888889</v>
      </c>
      <c r="N9" s="47" t="n">
        <f aca="false">W_Vuln*D9+W_Pob*L9+W_Brecha*M9</f>
        <v>0.473257575757576</v>
      </c>
      <c r="O9" s="17" t="str">
        <f aca="false">IF(N9&gt;=Prior_Alta,"Alta",IF(N9&gt;=Prior_Media,"Media","Baja"))</f>
        <v>Media</v>
      </c>
      <c r="P9" s="46" t="n">
        <f aca="false">SUMIFS(F2_Ejecucion!$J$5:$J$500,F2_Ejecucion!$F$5:$F$500,A9)</f>
        <v>115870</v>
      </c>
      <c r="Q9" s="46" t="n">
        <f aca="false">IF(G9=0,"",P9/G9)</f>
        <v>367.84126984127</v>
      </c>
      <c r="R9" s="48" t="n">
        <f aca="false">RANK(N9,$N$5:$N$18)</f>
        <v>14</v>
      </c>
    </row>
    <row r="10" customFormat="false" ht="15" hidden="false" customHeight="false" outlineLevel="0" collapsed="false">
      <c r="A10" s="15" t="s">
        <v>553</v>
      </c>
      <c r="B10" s="15" t="s">
        <v>554</v>
      </c>
      <c r="C10" s="57" t="n">
        <v>0.05</v>
      </c>
      <c r="D10" s="57" t="n">
        <v>0.6</v>
      </c>
      <c r="E10" s="42" t="n">
        <v>3110</v>
      </c>
      <c r="F10" s="43" t="n">
        <f aca="false">ROUND(E10*Pct_Anio1_Benef,0)</f>
        <v>311</v>
      </c>
      <c r="G10" s="42" t="n">
        <v>139</v>
      </c>
      <c r="H10" s="42" t="n">
        <v>13</v>
      </c>
      <c r="I10" s="42" t="n">
        <v>5</v>
      </c>
      <c r="J10" s="42" t="n">
        <v>6</v>
      </c>
      <c r="K10" s="41" t="n">
        <f aca="false">IF(F10=0,0,G10/F10)</f>
        <v>0.446945337620579</v>
      </c>
      <c r="L10" s="47" t="n">
        <f aca="false">C10/MAX($C$5:$C$18)</f>
        <v>0.227272727272727</v>
      </c>
      <c r="M10" s="47" t="n">
        <f aca="false">1-MIN(1,K10)</f>
        <v>0.553054662379421</v>
      </c>
      <c r="N10" s="47" t="n">
        <f aca="false">W_Vuln*D10+W_Pob*L10+W_Brecha*M10</f>
        <v>0.511370944168372</v>
      </c>
      <c r="O10" s="17" t="str">
        <f aca="false">IF(N10&gt;=Prior_Alta,"Alta",IF(N10&gt;=Prior_Media,"Media","Baja"))</f>
        <v>Media</v>
      </c>
      <c r="P10" s="46" t="n">
        <f aca="false">SUMIFS(F2_Ejecucion!$J$5:$J$500,F2_Ejecucion!$F$5:$F$500,A10)</f>
        <v>124040</v>
      </c>
      <c r="Q10" s="46" t="n">
        <f aca="false">IF(G10=0,"",P10/G10)</f>
        <v>892.374100719424</v>
      </c>
      <c r="R10" s="48" t="n">
        <f aca="false">RANK(N10,$N$5:$N$18)</f>
        <v>12</v>
      </c>
    </row>
    <row r="11" customFormat="false" ht="15" hidden="false" customHeight="false" outlineLevel="0" collapsed="false">
      <c r="A11" s="15" t="s">
        <v>555</v>
      </c>
      <c r="B11" s="15" t="s">
        <v>556</v>
      </c>
      <c r="C11" s="57" t="n">
        <v>0.05</v>
      </c>
      <c r="D11" s="57" t="n">
        <v>0.74</v>
      </c>
      <c r="E11" s="42" t="n">
        <v>3440</v>
      </c>
      <c r="F11" s="43" t="n">
        <f aca="false">ROUND(E11*Pct_Anio1_Benef,0)</f>
        <v>344</v>
      </c>
      <c r="G11" s="42" t="n">
        <v>93</v>
      </c>
      <c r="H11" s="42" t="n">
        <v>9</v>
      </c>
      <c r="I11" s="42" t="n">
        <v>3</v>
      </c>
      <c r="J11" s="42" t="n">
        <v>2</v>
      </c>
      <c r="K11" s="41" t="n">
        <f aca="false">IF(F11=0,0,G11/F11)</f>
        <v>0.270348837209302</v>
      </c>
      <c r="L11" s="47" t="n">
        <f aca="false">C11/MAX($C$5:$C$18)</f>
        <v>0.227272727272727</v>
      </c>
      <c r="M11" s="47" t="n">
        <f aca="false">1-MIN(1,K11)</f>
        <v>0.729651162790698</v>
      </c>
      <c r="N11" s="47" t="n">
        <f aca="false">W_Vuln*D11+W_Pob*L11+W_Brecha*M11</f>
        <v>0.634349894291755</v>
      </c>
      <c r="O11" s="17" t="str">
        <f aca="false">IF(N11&gt;=Prior_Alta,"Alta",IF(N11&gt;=Prior_Media,"Media","Baja"))</f>
        <v>Alta</v>
      </c>
      <c r="P11" s="46" t="n">
        <f aca="false">SUMIFS(F2_Ejecucion!$J$5:$J$500,F2_Ejecucion!$F$5:$F$500,A11)</f>
        <v>31890</v>
      </c>
      <c r="Q11" s="46" t="n">
        <f aca="false">IF(G11=0,"",P11/G11)</f>
        <v>342.903225806452</v>
      </c>
      <c r="R11" s="48" t="n">
        <f aca="false">RANK(N11,$N$5:$N$18)</f>
        <v>1</v>
      </c>
    </row>
    <row r="12" customFormat="false" ht="15" hidden="false" customHeight="false" outlineLevel="0" collapsed="false">
      <c r="A12" s="15" t="s">
        <v>557</v>
      </c>
      <c r="B12" s="15" t="s">
        <v>558</v>
      </c>
      <c r="C12" s="57" t="n">
        <v>0.03</v>
      </c>
      <c r="D12" s="57" t="n">
        <v>0.78</v>
      </c>
      <c r="E12" s="42" t="n">
        <v>2120</v>
      </c>
      <c r="F12" s="43" t="n">
        <f aca="false">ROUND(E12*Pct_Anio1_Benef,0)</f>
        <v>212</v>
      </c>
      <c r="G12" s="42" t="n">
        <v>66</v>
      </c>
      <c r="H12" s="42" t="n">
        <v>5</v>
      </c>
      <c r="I12" s="42" t="n">
        <v>3</v>
      </c>
      <c r="J12" s="42" t="n">
        <v>2</v>
      </c>
      <c r="K12" s="41" t="n">
        <f aca="false">IF(F12=0,0,G12/F12)</f>
        <v>0.311320754716981</v>
      </c>
      <c r="L12" s="47" t="n">
        <f aca="false">C12/MAX($C$5:$C$18)</f>
        <v>0.136363636363636</v>
      </c>
      <c r="M12" s="47" t="n">
        <f aca="false">1-MIN(1,K12)</f>
        <v>0.688679245283019</v>
      </c>
      <c r="N12" s="47" t="n">
        <f aca="false">W_Vuln*D12+W_Pob*L12+W_Brecha*M12</f>
        <v>0.623876500857633</v>
      </c>
      <c r="O12" s="17" t="str">
        <f aca="false">IF(N12&gt;=Prior_Alta,"Alta",IF(N12&gt;=Prior_Media,"Media","Baja"))</f>
        <v>Alta</v>
      </c>
      <c r="P12" s="46" t="n">
        <f aca="false">SUMIFS(F2_Ejecucion!$J$5:$J$500,F2_Ejecucion!$F$5:$F$500,A12)</f>
        <v>75910</v>
      </c>
      <c r="Q12" s="46" t="n">
        <f aca="false">IF(G12=0,"",P12/G12)</f>
        <v>1150.15151515152</v>
      </c>
      <c r="R12" s="48" t="n">
        <f aca="false">RANK(N12,$N$5:$N$18)</f>
        <v>4</v>
      </c>
    </row>
    <row r="13" customFormat="false" ht="15" hidden="false" customHeight="false" outlineLevel="0" collapsed="false">
      <c r="A13" s="15" t="s">
        <v>559</v>
      </c>
      <c r="B13" s="15" t="s">
        <v>560</v>
      </c>
      <c r="C13" s="57" t="n">
        <v>0.09</v>
      </c>
      <c r="D13" s="57" t="n">
        <v>0.58</v>
      </c>
      <c r="E13" s="42" t="n">
        <v>5520</v>
      </c>
      <c r="F13" s="43" t="n">
        <f aca="false">ROUND(E13*Pct_Anio1_Benef,0)</f>
        <v>552</v>
      </c>
      <c r="G13" s="42" t="n">
        <v>226</v>
      </c>
      <c r="H13" s="42" t="n">
        <v>21</v>
      </c>
      <c r="I13" s="42" t="n">
        <v>8</v>
      </c>
      <c r="J13" s="42" t="n">
        <v>6</v>
      </c>
      <c r="K13" s="41" t="n">
        <f aca="false">IF(F13=0,0,G13/F13)</f>
        <v>0.409420289855072</v>
      </c>
      <c r="L13" s="47" t="n">
        <f aca="false">C13/MAX($C$5:$C$18)</f>
        <v>0.409090909090909</v>
      </c>
      <c r="M13" s="47" t="n">
        <f aca="false">1-MIN(1,K13)</f>
        <v>0.590579710144928</v>
      </c>
      <c r="N13" s="47" t="n">
        <f aca="false">W_Vuln*D13+W_Pob*L13+W_Brecha*M13</f>
        <v>0.54899209486166</v>
      </c>
      <c r="O13" s="17" t="str">
        <f aca="false">IF(N13&gt;=Prior_Alta,"Alta",IF(N13&gt;=Prior_Media,"Media","Baja"))</f>
        <v>Media</v>
      </c>
      <c r="P13" s="46" t="n">
        <f aca="false">SUMIFS(F2_Ejecucion!$J$5:$J$500,F2_Ejecucion!$F$5:$F$500,A13)</f>
        <v>36110</v>
      </c>
      <c r="Q13" s="46" t="n">
        <f aca="false">IF(G13=0,"",P13/G13)</f>
        <v>159.778761061947</v>
      </c>
      <c r="R13" s="48" t="n">
        <f aca="false">RANK(N13,$N$5:$N$18)</f>
        <v>8</v>
      </c>
    </row>
    <row r="14" customFormat="false" ht="15" hidden="false" customHeight="false" outlineLevel="0" collapsed="false">
      <c r="A14" s="15" t="s">
        <v>561</v>
      </c>
      <c r="B14" s="15" t="s">
        <v>562</v>
      </c>
      <c r="C14" s="57" t="n">
        <v>0.22</v>
      </c>
      <c r="D14" s="57" t="n">
        <v>0.35</v>
      </c>
      <c r="E14" s="42" t="n">
        <v>11170</v>
      </c>
      <c r="F14" s="43" t="n">
        <f aca="false">ROUND(E14*Pct_Anio1_Benef,0)</f>
        <v>1117</v>
      </c>
      <c r="G14" s="42" t="n">
        <v>406</v>
      </c>
      <c r="H14" s="42" t="n">
        <v>41</v>
      </c>
      <c r="I14" s="42" t="n">
        <v>14</v>
      </c>
      <c r="J14" s="42" t="n">
        <v>15</v>
      </c>
      <c r="K14" s="41" t="n">
        <f aca="false">IF(F14=0,0,G14/F14)</f>
        <v>0.363473589973142</v>
      </c>
      <c r="L14" s="47" t="n">
        <f aca="false">C14/MAX($C$5:$C$18)</f>
        <v>1</v>
      </c>
      <c r="M14" s="47" t="n">
        <f aca="false">1-MIN(1,K14)</f>
        <v>0.636526410026858</v>
      </c>
      <c r="N14" s="47" t="n">
        <f aca="false">W_Vuln*D14+W_Pob*L14+W_Brecha*M14</f>
        <v>0.565957923008057</v>
      </c>
      <c r="O14" s="17" t="str">
        <f aca="false">IF(N14&gt;=Prior_Alta,"Alta",IF(N14&gt;=Prior_Media,"Media","Baja"))</f>
        <v>Media</v>
      </c>
      <c r="P14" s="46" t="n">
        <f aca="false">SUMIFS(F2_Ejecucion!$J$5:$J$500,F2_Ejecucion!$F$5:$F$500,A14)</f>
        <v>93190</v>
      </c>
      <c r="Q14" s="46" t="n">
        <f aca="false">IF(G14=0,"",P14/G14)</f>
        <v>229.532019704434</v>
      </c>
      <c r="R14" s="48" t="n">
        <f aca="false">RANK(N14,$N$5:$N$18)</f>
        <v>6</v>
      </c>
    </row>
    <row r="15" customFormat="false" ht="15" hidden="false" customHeight="false" outlineLevel="0" collapsed="false">
      <c r="A15" s="15" t="s">
        <v>563</v>
      </c>
      <c r="B15" s="15" t="s">
        <v>564</v>
      </c>
      <c r="C15" s="57" t="n">
        <v>0.04</v>
      </c>
      <c r="D15" s="57" t="n">
        <v>0.66</v>
      </c>
      <c r="E15" s="42" t="n">
        <v>2600</v>
      </c>
      <c r="F15" s="43" t="n">
        <f aca="false">ROUND(E15*Pct_Anio1_Benef,0)</f>
        <v>260</v>
      </c>
      <c r="G15" s="42" t="n">
        <v>125</v>
      </c>
      <c r="H15" s="42" t="n">
        <v>11</v>
      </c>
      <c r="I15" s="42" t="n">
        <v>5</v>
      </c>
      <c r="J15" s="42" t="n">
        <v>4</v>
      </c>
      <c r="K15" s="41" t="n">
        <f aca="false">IF(F15=0,0,G15/F15)</f>
        <v>0.480769230769231</v>
      </c>
      <c r="L15" s="47" t="n">
        <f aca="false">C15/MAX($C$5:$C$18)</f>
        <v>0.181818181818182</v>
      </c>
      <c r="M15" s="47" t="n">
        <f aca="false">1-MIN(1,K15)</f>
        <v>0.519230769230769</v>
      </c>
      <c r="N15" s="47" t="n">
        <f aca="false">W_Vuln*D15+W_Pob*L15+W_Brecha*M15</f>
        <v>0.522132867132867</v>
      </c>
      <c r="O15" s="17" t="str">
        <f aca="false">IF(N15&gt;=Prior_Alta,"Alta",IF(N15&gt;=Prior_Media,"Media","Baja"))</f>
        <v>Media</v>
      </c>
      <c r="P15" s="46" t="n">
        <f aca="false">SUMIFS(F2_Ejecucion!$J$5:$J$500,F2_Ejecucion!$F$5:$F$500,A15)</f>
        <v>28790</v>
      </c>
      <c r="Q15" s="46" t="n">
        <f aca="false">IF(G15=0,"",P15/G15)</f>
        <v>230.32</v>
      </c>
      <c r="R15" s="48" t="n">
        <f aca="false">RANK(N15,$N$5:$N$18)</f>
        <v>11</v>
      </c>
    </row>
    <row r="16" customFormat="false" ht="15" hidden="false" customHeight="false" outlineLevel="0" collapsed="false">
      <c r="A16" s="15" t="s">
        <v>565</v>
      </c>
      <c r="B16" s="15" t="s">
        <v>566</v>
      </c>
      <c r="C16" s="57" t="n">
        <v>0.1</v>
      </c>
      <c r="D16" s="57" t="n">
        <v>0.55</v>
      </c>
      <c r="E16" s="42" t="n">
        <v>6000</v>
      </c>
      <c r="F16" s="43" t="n">
        <f aca="false">ROUND(E16*Pct_Anio1_Benef,0)</f>
        <v>600</v>
      </c>
      <c r="G16" s="42" t="n">
        <v>265</v>
      </c>
      <c r="H16" s="42" t="n">
        <v>19</v>
      </c>
      <c r="I16" s="42" t="n">
        <v>12</v>
      </c>
      <c r="J16" s="42" t="n">
        <v>8</v>
      </c>
      <c r="K16" s="41" t="n">
        <f aca="false">IF(F16=0,0,G16/F16)</f>
        <v>0.441666666666667</v>
      </c>
      <c r="L16" s="47" t="n">
        <f aca="false">C16/MAX($C$5:$C$18)</f>
        <v>0.454545454545455</v>
      </c>
      <c r="M16" s="47" t="n">
        <f aca="false">1-MIN(1,K16)</f>
        <v>0.558333333333333</v>
      </c>
      <c r="N16" s="47" t="n">
        <f aca="false">W_Vuln*D16+W_Pob*L16+W_Brecha*M16</f>
        <v>0.533409090909091</v>
      </c>
      <c r="O16" s="17" t="str">
        <f aca="false">IF(N16&gt;=Prior_Alta,"Alta",IF(N16&gt;=Prior_Media,"Media","Baja"))</f>
        <v>Media</v>
      </c>
      <c r="P16" s="46" t="n">
        <f aca="false">SUMIFS(F2_Ejecucion!$J$5:$J$500,F2_Ejecucion!$F$5:$F$500,A16)</f>
        <v>73080</v>
      </c>
      <c r="Q16" s="46" t="n">
        <f aca="false">IF(G16=0,"",P16/G16)</f>
        <v>275.77358490566</v>
      </c>
      <c r="R16" s="48" t="n">
        <f aca="false">RANK(N16,$N$5:$N$18)</f>
        <v>10</v>
      </c>
    </row>
    <row r="17" customFormat="false" ht="15" hidden="false" customHeight="false" outlineLevel="0" collapsed="false">
      <c r="A17" s="15" t="s">
        <v>567</v>
      </c>
      <c r="B17" s="15" t="s">
        <v>568</v>
      </c>
      <c r="C17" s="57" t="n">
        <v>0.07</v>
      </c>
      <c r="D17" s="57" t="n">
        <v>0.62</v>
      </c>
      <c r="E17" s="42" t="n">
        <v>4420</v>
      </c>
      <c r="F17" s="43" t="n">
        <f aca="false">ROUND(E17*Pct_Anio1_Benef,0)</f>
        <v>442</v>
      </c>
      <c r="G17" s="42" t="n">
        <v>192</v>
      </c>
      <c r="H17" s="42" t="n">
        <v>21</v>
      </c>
      <c r="I17" s="42" t="n">
        <v>7</v>
      </c>
      <c r="J17" s="42" t="n">
        <v>7</v>
      </c>
      <c r="K17" s="41" t="n">
        <f aca="false">IF(F17=0,0,G17/F17)</f>
        <v>0.434389140271493</v>
      </c>
      <c r="L17" s="47" t="n">
        <f aca="false">C17/MAX($C$5:$C$18)</f>
        <v>0.318181818181818</v>
      </c>
      <c r="M17" s="47" t="n">
        <f aca="false">1-MIN(1,K17)</f>
        <v>0.565610859728507</v>
      </c>
      <c r="N17" s="47" t="n">
        <f aca="false">W_Vuln*D17+W_Pob*L17+W_Brecha*M17</f>
        <v>0.543319621554916</v>
      </c>
      <c r="O17" s="17" t="str">
        <f aca="false">IF(N17&gt;=Prior_Alta,"Alta",IF(N17&gt;=Prior_Media,"Media","Baja"))</f>
        <v>Media</v>
      </c>
      <c r="P17" s="46" t="n">
        <f aca="false">SUMIFS(F2_Ejecucion!$J$5:$J$500,F2_Ejecucion!$F$5:$F$500,A17)</f>
        <v>26620</v>
      </c>
      <c r="Q17" s="46" t="n">
        <f aca="false">IF(G17=0,"",P17/G17)</f>
        <v>138.645833333333</v>
      </c>
      <c r="R17" s="48" t="n">
        <f aca="false">RANK(N17,$N$5:$N$18)</f>
        <v>9</v>
      </c>
    </row>
    <row r="18" customFormat="false" ht="15" hidden="false" customHeight="false" outlineLevel="0" collapsed="false">
      <c r="A18" s="15" t="s">
        <v>569</v>
      </c>
      <c r="B18" s="15" t="s">
        <v>570</v>
      </c>
      <c r="C18" s="57" t="n">
        <v>0.06</v>
      </c>
      <c r="D18" s="57" t="n">
        <v>0.68</v>
      </c>
      <c r="E18" s="42" t="n">
        <v>3960</v>
      </c>
      <c r="F18" s="43" t="n">
        <f aca="false">ROUND(E18*Pct_Anio1_Benef,0)</f>
        <v>396</v>
      </c>
      <c r="G18" s="42" t="n">
        <v>186</v>
      </c>
      <c r="H18" s="42" t="n">
        <v>15</v>
      </c>
      <c r="I18" s="42" t="n">
        <v>7</v>
      </c>
      <c r="J18" s="42" t="n">
        <v>7</v>
      </c>
      <c r="K18" s="41" t="n">
        <f aca="false">IF(F18=0,0,G18/F18)</f>
        <v>0.46969696969697</v>
      </c>
      <c r="L18" s="47" t="n">
        <f aca="false">C18/MAX($C$5:$C$18)</f>
        <v>0.272727272727273</v>
      </c>
      <c r="M18" s="47" t="n">
        <f aca="false">1-MIN(1,K18)</f>
        <v>0.53030303030303</v>
      </c>
      <c r="N18" s="47" t="n">
        <f aca="false">W_Vuln*D18+W_Pob*L18+W_Brecha*M18</f>
        <v>0.553636363636364</v>
      </c>
      <c r="O18" s="17" t="str">
        <f aca="false">IF(N18&gt;=Prior_Alta,"Alta",IF(N18&gt;=Prior_Media,"Media","Baja"))</f>
        <v>Media</v>
      </c>
      <c r="P18" s="46" t="n">
        <f aca="false">SUMIFS(F2_Ejecucion!$J$5:$J$500,F2_Ejecucion!$F$5:$F$500,A18)</f>
        <v>25810</v>
      </c>
      <c r="Q18" s="46" t="n">
        <f aca="false">IF(G18=0,"",P18/G18)</f>
        <v>138.763440860215</v>
      </c>
      <c r="R18" s="48" t="n">
        <f aca="false">RANK(N18,$N$5:$N$18)</f>
        <v>7</v>
      </c>
    </row>
    <row r="19" customFormat="false" ht="15" hidden="false" customHeight="false" outlineLevel="0" collapsed="false">
      <c r="A19" s="50" t="s">
        <v>571</v>
      </c>
      <c r="B19" s="50"/>
      <c r="C19" s="53" t="n">
        <f aca="false">SUM(C5:C18)</f>
        <v>1</v>
      </c>
      <c r="D19" s="53"/>
      <c r="E19" s="58" t="n">
        <f aca="false">SUM(E5:E18)</f>
        <v>60000</v>
      </c>
      <c r="F19" s="58" t="n">
        <f aca="false">SUM(F5:F18)</f>
        <v>6000</v>
      </c>
      <c r="G19" s="58" t="n">
        <f aca="false">SUM(G5:G18)</f>
        <v>2380</v>
      </c>
      <c r="H19" s="58" t="n">
        <f aca="false">SUM(H5:H18)</f>
        <v>223</v>
      </c>
      <c r="I19" s="58" t="n">
        <f aca="false">SUM(I5:I18)</f>
        <v>90</v>
      </c>
      <c r="J19" s="58" t="n">
        <f aca="false">SUM(J5:J18)</f>
        <v>75</v>
      </c>
      <c r="K19" s="52" t="n">
        <f aca="false">G19/F19</f>
        <v>0.396666666666667</v>
      </c>
      <c r="L19" s="53"/>
      <c r="M19" s="53"/>
      <c r="N19" s="53"/>
      <c r="O19" s="50"/>
      <c r="P19" s="51" t="n">
        <f aca="false">SUM(P5:P18)</f>
        <v>735000</v>
      </c>
      <c r="Q19" s="51" t="n">
        <f aca="false">P19/G19</f>
        <v>308.823529411765</v>
      </c>
      <c r="R19" s="54"/>
    </row>
    <row r="21" customFormat="false" ht="15" hidden="false" customHeight="false" outlineLevel="0" collapsed="false">
      <c r="A21" s="55" t="s">
        <v>572</v>
      </c>
    </row>
  </sheetData>
  <autoFilter ref="A4:R18"/>
  <conditionalFormatting sqref="O5:O18">
    <cfRule type="cellIs" priority="2" operator="equal" aboveAverage="0" equalAverage="0" bottom="0" percent="0" rank="0" text="" dxfId="0">
      <formula>"Baja"</formula>
    </cfRule>
    <cfRule type="cellIs" priority="3" operator="equal" aboveAverage="0" equalAverage="0" bottom="0" percent="0" rank="0" text="" dxfId="1">
      <formula>"Media"</formula>
    </cfRule>
    <cfRule type="cellIs" priority="4" operator="equal" aboveAverage="0" equalAverage="0" bottom="0" percent="0" rank="0" text="" dxfId="2">
      <formula>"Alta"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Q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9"/>
    <col collapsed="false" customWidth="true" hidden="false" outlineLevel="0" max="11" min="7" style="0" width="14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6"/>
  </cols>
  <sheetData>
    <row r="1" customFormat="false" ht="24" hidden="false" customHeight="true" outlineLevel="0" collapsed="false">
      <c r="A1" s="1" t="s">
        <v>573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574</v>
      </c>
    </row>
    <row r="4" customFormat="false" ht="43.5" hidden="false" customHeight="true" outlineLevel="0" collapsed="false">
      <c r="A4" s="14" t="s">
        <v>256</v>
      </c>
      <c r="B4" s="14" t="s">
        <v>420</v>
      </c>
      <c r="C4" s="14" t="s">
        <v>575</v>
      </c>
      <c r="D4" s="14" t="s">
        <v>576</v>
      </c>
      <c r="E4" s="14" t="s">
        <v>577</v>
      </c>
      <c r="F4" s="14" t="s">
        <v>578</v>
      </c>
      <c r="G4" s="14" t="s">
        <v>579</v>
      </c>
      <c r="H4" s="14" t="s">
        <v>580</v>
      </c>
      <c r="I4" s="14" t="s">
        <v>581</v>
      </c>
      <c r="J4" s="14" t="s">
        <v>582</v>
      </c>
      <c r="K4" s="14" t="s">
        <v>583</v>
      </c>
      <c r="L4" s="14" t="s">
        <v>584</v>
      </c>
      <c r="M4" s="14" t="s">
        <v>585</v>
      </c>
      <c r="N4" s="14" t="s">
        <v>586</v>
      </c>
      <c r="O4" s="14" t="s">
        <v>587</v>
      </c>
      <c r="P4" s="14" t="s">
        <v>588</v>
      </c>
      <c r="Q4" s="14" t="s">
        <v>589</v>
      </c>
    </row>
    <row r="5" customFormat="false" ht="15" hidden="false" customHeight="false" outlineLevel="0" collapsed="false">
      <c r="A5" s="15" t="s">
        <v>287</v>
      </c>
      <c r="B5" s="15" t="s">
        <v>431</v>
      </c>
      <c r="C5" s="45" t="n">
        <v>13500000</v>
      </c>
      <c r="D5" s="45" t="n">
        <v>500000</v>
      </c>
      <c r="E5" s="46" t="n">
        <f aca="false">C5+D5</f>
        <v>14000000</v>
      </c>
      <c r="F5" s="41" t="n">
        <f aca="false">E5/$E$10</f>
        <v>0.134615384615385</v>
      </c>
      <c r="G5" s="46" t="n">
        <f aca="false">SUMIFS(P1_POA!$G$5:$G$200,P1_POA!$B$5:$B$200,A5)</f>
        <v>1030000</v>
      </c>
      <c r="H5" s="45" t="n">
        <v>2850000</v>
      </c>
      <c r="I5" s="45" t="n">
        <v>3890000</v>
      </c>
      <c r="J5" s="45" t="n">
        <v>3630000</v>
      </c>
      <c r="K5" s="45" t="n">
        <v>2600000</v>
      </c>
      <c r="L5" s="46" t="n">
        <f aca="false">SUM(G5:K5)</f>
        <v>14000000</v>
      </c>
      <c r="M5" s="17" t="str">
        <f aca="false">IF(ROUND(L5-E5,0)=0,"OK","REVISAR")</f>
        <v>OK</v>
      </c>
      <c r="N5" s="46" t="n">
        <f aca="false">SUMIFS(F2_Ejecucion!$J$5:$J$500,F2_Ejecucion!$C$5:$C$500,A5)</f>
        <v>627600</v>
      </c>
      <c r="O5" s="41" t="n">
        <f aca="false">N5/E5</f>
        <v>0.0448285714285714</v>
      </c>
      <c r="P5" s="41" t="n">
        <f aca="false">N5/INDEX(G5:K5,Anio_Programa)</f>
        <v>0.609320388349515</v>
      </c>
      <c r="Q5" s="46" t="n">
        <f aca="false">E5-N5</f>
        <v>13372400</v>
      </c>
    </row>
    <row r="6" customFormat="false" ht="15" hidden="false" customHeight="false" outlineLevel="0" collapsed="false">
      <c r="A6" s="15" t="s">
        <v>273</v>
      </c>
      <c r="B6" s="15" t="s">
        <v>432</v>
      </c>
      <c r="C6" s="45" t="n">
        <v>44000000</v>
      </c>
      <c r="D6" s="45" t="n">
        <v>2000000</v>
      </c>
      <c r="E6" s="46" t="n">
        <f aca="false">C6+D6</f>
        <v>46000000</v>
      </c>
      <c r="F6" s="41" t="n">
        <f aca="false">E6/$E$10</f>
        <v>0.442307692307692</v>
      </c>
      <c r="G6" s="46" t="n">
        <f aca="false">SUMIFS(P1_POA!$G$5:$G$200,P1_POA!$B$5:$B$200,A6)</f>
        <v>1800000</v>
      </c>
      <c r="H6" s="45" t="n">
        <v>9720000</v>
      </c>
      <c r="I6" s="45" t="n">
        <v>13260000</v>
      </c>
      <c r="J6" s="45" t="n">
        <v>12380000</v>
      </c>
      <c r="K6" s="45" t="n">
        <v>8840000</v>
      </c>
      <c r="L6" s="46" t="n">
        <f aca="false">SUM(G6:K6)</f>
        <v>46000000</v>
      </c>
      <c r="M6" s="17" t="str">
        <f aca="false">IF(ROUND(L6-E6,0)=0,"OK","REVISAR")</f>
        <v>OK</v>
      </c>
      <c r="N6" s="46" t="n">
        <f aca="false">SUMIFS(F2_Ejecucion!$J$5:$J$500,F2_Ejecucion!$C$5:$C$500,A6)</f>
        <v>735300</v>
      </c>
      <c r="O6" s="41" t="n">
        <f aca="false">N6/E6</f>
        <v>0.0159847826086957</v>
      </c>
      <c r="P6" s="41" t="n">
        <f aca="false">N6/INDEX(G6:K6,Anio_Programa)</f>
        <v>0.4085</v>
      </c>
      <c r="Q6" s="46" t="n">
        <f aca="false">E6-N6</f>
        <v>45264700</v>
      </c>
    </row>
    <row r="7" customFormat="false" ht="15" hidden="false" customHeight="false" outlineLevel="0" collapsed="false">
      <c r="A7" s="15" t="s">
        <v>282</v>
      </c>
      <c r="B7" s="15" t="s">
        <v>433</v>
      </c>
      <c r="C7" s="45" t="n">
        <v>20000000</v>
      </c>
      <c r="D7" s="45" t="n">
        <v>0</v>
      </c>
      <c r="E7" s="46" t="n">
        <f aca="false">C7+D7</f>
        <v>20000000</v>
      </c>
      <c r="F7" s="41" t="n">
        <f aca="false">E7/$E$10</f>
        <v>0.192307692307692</v>
      </c>
      <c r="G7" s="46" t="n">
        <f aca="false">SUMIFS(P1_POA!$G$5:$G$200,P1_POA!$B$5:$B$200,A7)</f>
        <v>500000</v>
      </c>
      <c r="H7" s="45" t="n">
        <v>4290000</v>
      </c>
      <c r="I7" s="45" t="n">
        <v>5850000</v>
      </c>
      <c r="J7" s="45" t="n">
        <v>5460000</v>
      </c>
      <c r="K7" s="45" t="n">
        <v>3900000</v>
      </c>
      <c r="L7" s="46" t="n">
        <f aca="false">SUM(G7:K7)</f>
        <v>20000000</v>
      </c>
      <c r="M7" s="17" t="str">
        <f aca="false">IF(ROUND(L7-E7,0)=0,"OK","REVISAR")</f>
        <v>OK</v>
      </c>
      <c r="N7" s="46" t="n">
        <f aca="false">SUMIFS(F2_Ejecucion!$J$5:$J$500,F2_Ejecucion!$C$5:$C$500,A7)</f>
        <v>268200</v>
      </c>
      <c r="O7" s="41" t="n">
        <f aca="false">N7/E7</f>
        <v>0.01341</v>
      </c>
      <c r="P7" s="41" t="n">
        <f aca="false">N7/INDEX(G7:K7,Anio_Programa)</f>
        <v>0.5364</v>
      </c>
      <c r="Q7" s="46" t="n">
        <f aca="false">E7-N7</f>
        <v>19731800</v>
      </c>
    </row>
    <row r="8" customFormat="false" ht="15" hidden="false" customHeight="false" outlineLevel="0" collapsed="false">
      <c r="A8" s="15" t="s">
        <v>301</v>
      </c>
      <c r="B8" s="15" t="s">
        <v>434</v>
      </c>
      <c r="C8" s="45" t="n">
        <v>16000000</v>
      </c>
      <c r="D8" s="45" t="n">
        <v>1000000</v>
      </c>
      <c r="E8" s="46" t="n">
        <f aca="false">C8+D8</f>
        <v>17000000</v>
      </c>
      <c r="F8" s="41" t="n">
        <f aca="false">E8/$E$10</f>
        <v>0.163461538461538</v>
      </c>
      <c r="G8" s="46" t="n">
        <f aca="false">SUMIFS(P1_POA!$G$5:$G$200,P1_POA!$B$5:$B$200,A8)</f>
        <v>2300000</v>
      </c>
      <c r="H8" s="45" t="n">
        <v>3230000</v>
      </c>
      <c r="I8" s="45" t="n">
        <v>4410000</v>
      </c>
      <c r="J8" s="45" t="n">
        <v>4120000</v>
      </c>
      <c r="K8" s="45" t="n">
        <v>2940000</v>
      </c>
      <c r="L8" s="46" t="n">
        <f aca="false">SUM(G8:K8)</f>
        <v>17000000</v>
      </c>
      <c r="M8" s="17" t="str">
        <f aca="false">IF(ROUND(L8-E8,0)=0,"OK","REVISAR")</f>
        <v>OK</v>
      </c>
      <c r="N8" s="46" t="n">
        <f aca="false">SUMIFS(F2_Ejecucion!$J$5:$J$500,F2_Ejecucion!$C$5:$C$500,A8)</f>
        <v>722850</v>
      </c>
      <c r="O8" s="41" t="n">
        <f aca="false">N8/E8</f>
        <v>0.0425205882352941</v>
      </c>
      <c r="P8" s="41" t="n">
        <f aca="false">N8/INDEX(G8:K8,Anio_Programa)</f>
        <v>0.314282608695652</v>
      </c>
      <c r="Q8" s="46" t="n">
        <f aca="false">E8-N8</f>
        <v>16277150</v>
      </c>
    </row>
    <row r="9" customFormat="false" ht="15" hidden="false" customHeight="false" outlineLevel="0" collapsed="false">
      <c r="A9" s="15" t="s">
        <v>330</v>
      </c>
      <c r="B9" s="15" t="s">
        <v>435</v>
      </c>
      <c r="C9" s="45" t="n">
        <v>6500000</v>
      </c>
      <c r="D9" s="45" t="n">
        <v>500000</v>
      </c>
      <c r="E9" s="46" t="n">
        <f aca="false">C9+D9</f>
        <v>7000000</v>
      </c>
      <c r="F9" s="41" t="n">
        <f aca="false">E9/$E$10</f>
        <v>0.0673076923076923</v>
      </c>
      <c r="G9" s="46" t="n">
        <f aca="false">SUMIFS(P1_POA!$G$5:$G$200,P1_POA!$B$5:$B$200,A9)</f>
        <v>870000</v>
      </c>
      <c r="H9" s="45" t="n">
        <v>1350000</v>
      </c>
      <c r="I9" s="45" t="n">
        <v>1840000</v>
      </c>
      <c r="J9" s="45" t="n">
        <v>1720000</v>
      </c>
      <c r="K9" s="45" t="n">
        <v>1220000</v>
      </c>
      <c r="L9" s="46" t="n">
        <f aca="false">SUM(G9:K9)</f>
        <v>7000000</v>
      </c>
      <c r="M9" s="17" t="str">
        <f aca="false">IF(ROUND(L9-E9,0)=0,"OK","REVISAR")</f>
        <v>OK</v>
      </c>
      <c r="N9" s="46" t="n">
        <f aca="false">SUMIFS(F2_Ejecucion!$J$5:$J$500,F2_Ejecucion!$C$5:$C$500,A9)</f>
        <v>374400</v>
      </c>
      <c r="O9" s="41" t="n">
        <f aca="false">N9/E9</f>
        <v>0.0534857142857143</v>
      </c>
      <c r="P9" s="41" t="n">
        <f aca="false">N9/INDEX(G9:K9,Anio_Programa)</f>
        <v>0.430344827586207</v>
      </c>
      <c r="Q9" s="46" t="n">
        <f aca="false">E9-N9</f>
        <v>6625600</v>
      </c>
    </row>
    <row r="10" customFormat="false" ht="15" hidden="false" customHeight="false" outlineLevel="0" collapsed="false">
      <c r="A10" s="50" t="s">
        <v>436</v>
      </c>
      <c r="B10" s="50" t="s">
        <v>121</v>
      </c>
      <c r="C10" s="51" t="n">
        <f aca="false">SUM(C5:C9)</f>
        <v>100000000</v>
      </c>
      <c r="D10" s="51" t="n">
        <f aca="false">SUM(D5:D9)</f>
        <v>4000000</v>
      </c>
      <c r="E10" s="51" t="n">
        <f aca="false">SUM(E5:E9)</f>
        <v>104000000</v>
      </c>
      <c r="F10" s="52" t="n">
        <f aca="false">E10/E10</f>
        <v>1</v>
      </c>
      <c r="G10" s="51" t="n">
        <f aca="false">SUM(G5:G9)</f>
        <v>6500000</v>
      </c>
      <c r="H10" s="51" t="n">
        <f aca="false">SUM(H5:H9)</f>
        <v>21440000</v>
      </c>
      <c r="I10" s="51" t="n">
        <f aca="false">SUM(I5:I9)</f>
        <v>29250000</v>
      </c>
      <c r="J10" s="51" t="n">
        <f aca="false">SUM(J5:J9)</f>
        <v>27310000</v>
      </c>
      <c r="K10" s="51" t="n">
        <f aca="false">SUM(K5:K9)</f>
        <v>19500000</v>
      </c>
      <c r="L10" s="51" t="n">
        <f aca="false">SUM(L5:L9)</f>
        <v>104000000</v>
      </c>
      <c r="M10" s="50" t="str">
        <f aca="false">IF(AND(ROUND(E10-Total_Programa,0)=0,ROUND(C10-Total_Prestamo,0)=0,ROUND(D10-Total_Donacion,0)=0),"OK","REVISAR")</f>
        <v>OK</v>
      </c>
      <c r="N10" s="51" t="n">
        <f aca="false">SUM(N5:N9)</f>
        <v>2728350</v>
      </c>
      <c r="O10" s="52" t="n">
        <f aca="false">N10/E10</f>
        <v>0.0262341346153846</v>
      </c>
      <c r="P10" s="52" t="n">
        <f aca="false">N10/INDEX(G10:K10,Anio_Programa)</f>
        <v>0.419746153846154</v>
      </c>
      <c r="Q10" s="51" t="n">
        <f aca="false">SUM(Q5:Q9)</f>
        <v>101271650</v>
      </c>
    </row>
    <row r="12" customFormat="false" ht="15" hidden="false" customHeight="false" outlineLevel="0" collapsed="false">
      <c r="A12" s="21" t="s">
        <v>590</v>
      </c>
    </row>
    <row r="13" customFormat="false" ht="15" hidden="false" customHeight="false" outlineLevel="0" collapsed="false">
      <c r="A13" s="9" t="s">
        <v>591</v>
      </c>
      <c r="B13" s="9"/>
      <c r="C13" s="9" t="s">
        <v>592</v>
      </c>
      <c r="D13" s="9" t="s">
        <v>593</v>
      </c>
      <c r="E13" s="9" t="s">
        <v>594</v>
      </c>
      <c r="F13" s="9" t="s">
        <v>595</v>
      </c>
    </row>
    <row r="14" customFormat="false" ht="15" hidden="false" customHeight="false" outlineLevel="0" collapsed="false">
      <c r="A14" s="59" t="s">
        <v>596</v>
      </c>
      <c r="B14" s="59"/>
      <c r="C14" s="60" t="n">
        <f aca="false">Total_Prestamo</f>
        <v>100000000</v>
      </c>
      <c r="D14" s="60" t="n">
        <f aca="false">SUMIFS(F2_Ejecucion!$J$5:$J$500,F2_Ejecucion!$I$5:$I$500,A14)</f>
        <v>2608350</v>
      </c>
      <c r="E14" s="61" t="n">
        <f aca="false">IF(C14=0,0,D14/C14)</f>
        <v>0.0260835</v>
      </c>
      <c r="F14" s="60" t="n">
        <f aca="false">C14-D14</f>
        <v>97391650</v>
      </c>
    </row>
    <row r="15" customFormat="false" ht="15" hidden="false" customHeight="false" outlineLevel="0" collapsed="false">
      <c r="A15" s="59" t="s">
        <v>597</v>
      </c>
      <c r="B15" s="59"/>
      <c r="C15" s="60" t="n">
        <f aca="false">Total_Donacion</f>
        <v>4000000</v>
      </c>
      <c r="D15" s="60" t="n">
        <f aca="false">SUMIFS(F2_Ejecucion!$J$5:$J$500,F2_Ejecucion!$I$5:$I$500,A15)</f>
        <v>120000</v>
      </c>
      <c r="E15" s="61" t="n">
        <f aca="false">IF(C15=0,0,D15/C15)</f>
        <v>0.03</v>
      </c>
      <c r="F15" s="60" t="n">
        <f aca="false">C15-D15</f>
        <v>3880000</v>
      </c>
    </row>
    <row r="17" customFormat="false" ht="15" hidden="false" customHeight="false" outlineLevel="0" collapsed="false">
      <c r="A17" s="55" t="s">
        <v>598</v>
      </c>
    </row>
  </sheetData>
  <conditionalFormatting sqref="M5:M1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N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11"/>
  </cols>
  <sheetData>
    <row r="1" customFormat="false" ht="24" hidden="false" customHeight="true" outlineLevel="0" collapsed="false">
      <c r="A1" s="1" t="s">
        <v>599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600</v>
      </c>
    </row>
    <row r="4" customFormat="false" ht="33.75" hidden="false" customHeight="true" outlineLevel="0" collapsed="false">
      <c r="A4" s="14" t="s">
        <v>601</v>
      </c>
      <c r="B4" s="14" t="s">
        <v>602</v>
      </c>
      <c r="C4" s="14" t="s">
        <v>256</v>
      </c>
      <c r="D4" s="14" t="s">
        <v>603</v>
      </c>
      <c r="E4" s="14" t="s">
        <v>604</v>
      </c>
      <c r="F4" s="14" t="s">
        <v>527</v>
      </c>
      <c r="G4" s="14" t="s">
        <v>605</v>
      </c>
      <c r="H4" s="14" t="s">
        <v>440</v>
      </c>
      <c r="I4" s="14" t="s">
        <v>591</v>
      </c>
      <c r="J4" s="14" t="s">
        <v>606</v>
      </c>
      <c r="K4" s="14" t="s">
        <v>607</v>
      </c>
      <c r="L4" s="14" t="s">
        <v>608</v>
      </c>
      <c r="M4" s="14" t="s">
        <v>609</v>
      </c>
      <c r="N4" s="14" t="s">
        <v>610</v>
      </c>
    </row>
    <row r="5" customFormat="false" ht="15" hidden="false" customHeight="false" outlineLevel="0" collapsed="false">
      <c r="A5" s="38" t="s">
        <v>611</v>
      </c>
      <c r="B5" s="44" t="n">
        <v>46409</v>
      </c>
      <c r="C5" s="38" t="s">
        <v>330</v>
      </c>
      <c r="D5" s="38" t="s">
        <v>403</v>
      </c>
      <c r="E5" s="38" t="s">
        <v>612</v>
      </c>
      <c r="F5" s="38" t="s">
        <v>613</v>
      </c>
      <c r="G5" s="38" t="s">
        <v>614</v>
      </c>
      <c r="H5" s="38" t="s">
        <v>167</v>
      </c>
      <c r="I5" s="38" t="s">
        <v>596</v>
      </c>
      <c r="J5" s="45" t="n">
        <v>16680</v>
      </c>
      <c r="K5" s="38" t="s">
        <v>615</v>
      </c>
      <c r="L5" s="38" t="s">
        <v>616</v>
      </c>
      <c r="M5" s="38" t="s">
        <v>617</v>
      </c>
      <c r="N5" s="48" t="n">
        <f aca="false">IF(D5="","",IF(INDEX(P1_POA!$B$5:$B$200,MATCH(D5,P1_POA!$A$5:$A$200,0))=C5,0,1))</f>
        <v>0</v>
      </c>
    </row>
    <row r="6" customFormat="false" ht="15" hidden="false" customHeight="false" outlineLevel="0" collapsed="false">
      <c r="A6" s="38" t="s">
        <v>618</v>
      </c>
      <c r="B6" s="44" t="n">
        <v>46419</v>
      </c>
      <c r="C6" s="38" t="s">
        <v>330</v>
      </c>
      <c r="D6" s="38" t="s">
        <v>403</v>
      </c>
      <c r="E6" s="38" t="s">
        <v>612</v>
      </c>
      <c r="F6" s="38" t="s">
        <v>613</v>
      </c>
      <c r="G6" s="38" t="s">
        <v>619</v>
      </c>
      <c r="H6" s="38" t="s">
        <v>167</v>
      </c>
      <c r="I6" s="38" t="s">
        <v>596</v>
      </c>
      <c r="J6" s="45" t="n">
        <v>1700</v>
      </c>
      <c r="K6" s="38" t="s">
        <v>615</v>
      </c>
      <c r="L6" s="38" t="s">
        <v>616</v>
      </c>
      <c r="M6" s="38" t="s">
        <v>617</v>
      </c>
      <c r="N6" s="48" t="n">
        <f aca="false">IF(D6="","",IF(INDEX(P1_POA!$B$5:$B$200,MATCH(D6,P1_POA!$A$5:$A$200,0))=C6,0,1))</f>
        <v>0</v>
      </c>
    </row>
    <row r="7" customFormat="false" ht="15" hidden="false" customHeight="false" outlineLevel="0" collapsed="false">
      <c r="A7" s="38" t="s">
        <v>620</v>
      </c>
      <c r="B7" s="44" t="n">
        <v>46427</v>
      </c>
      <c r="C7" s="38" t="s">
        <v>330</v>
      </c>
      <c r="D7" s="38" t="s">
        <v>403</v>
      </c>
      <c r="E7" s="38" t="s">
        <v>612</v>
      </c>
      <c r="F7" s="38" t="s">
        <v>613</v>
      </c>
      <c r="G7" s="38" t="s">
        <v>621</v>
      </c>
      <c r="H7" s="38" t="s">
        <v>167</v>
      </c>
      <c r="I7" s="38" t="s">
        <v>596</v>
      </c>
      <c r="J7" s="45" t="n">
        <v>6820</v>
      </c>
      <c r="K7" s="38" t="s">
        <v>615</v>
      </c>
      <c r="L7" s="38" t="s">
        <v>616</v>
      </c>
      <c r="M7" s="38" t="s">
        <v>617</v>
      </c>
      <c r="N7" s="48" t="n">
        <f aca="false">IF(D7="","",IF(INDEX(P1_POA!$B$5:$B$200,MATCH(D7,P1_POA!$A$5:$A$200,0))=C7,0,1))</f>
        <v>0</v>
      </c>
    </row>
    <row r="8" customFormat="false" ht="15" hidden="false" customHeight="false" outlineLevel="0" collapsed="false">
      <c r="A8" s="38" t="s">
        <v>622</v>
      </c>
      <c r="B8" s="44" t="n">
        <v>46435</v>
      </c>
      <c r="C8" s="38" t="s">
        <v>330</v>
      </c>
      <c r="D8" s="38" t="s">
        <v>403</v>
      </c>
      <c r="E8" s="38" t="s">
        <v>623</v>
      </c>
      <c r="F8" s="38" t="s">
        <v>613</v>
      </c>
      <c r="G8" s="38" t="s">
        <v>624</v>
      </c>
      <c r="H8" s="38" t="s">
        <v>167</v>
      </c>
      <c r="I8" s="38" t="s">
        <v>596</v>
      </c>
      <c r="J8" s="45" t="n">
        <v>5690</v>
      </c>
      <c r="K8" s="38" t="s">
        <v>615</v>
      </c>
      <c r="L8" s="38" t="s">
        <v>616</v>
      </c>
      <c r="M8" s="38" t="s">
        <v>617</v>
      </c>
      <c r="N8" s="48" t="n">
        <f aca="false">IF(D8="","",IF(INDEX(P1_POA!$B$5:$B$200,MATCH(D8,P1_POA!$A$5:$A$200,0))=C8,0,1))</f>
        <v>0</v>
      </c>
    </row>
    <row r="9" customFormat="false" ht="15" hidden="false" customHeight="false" outlineLevel="0" collapsed="false">
      <c r="A9" s="38" t="s">
        <v>625</v>
      </c>
      <c r="B9" s="44" t="n">
        <v>46443</v>
      </c>
      <c r="C9" s="38" t="s">
        <v>330</v>
      </c>
      <c r="D9" s="38" t="s">
        <v>403</v>
      </c>
      <c r="E9" s="38" t="s">
        <v>623</v>
      </c>
      <c r="F9" s="38" t="s">
        <v>613</v>
      </c>
      <c r="G9" s="38" t="s">
        <v>626</v>
      </c>
      <c r="H9" s="38" t="s">
        <v>167</v>
      </c>
      <c r="I9" s="38" t="s">
        <v>596</v>
      </c>
      <c r="J9" s="45" t="n">
        <v>11500</v>
      </c>
      <c r="K9" s="38" t="s">
        <v>615</v>
      </c>
      <c r="L9" s="38" t="s">
        <v>616</v>
      </c>
      <c r="M9" s="38" t="s">
        <v>617</v>
      </c>
      <c r="N9" s="48" t="n">
        <f aca="false">IF(D9="","",IF(INDEX(P1_POA!$B$5:$B$200,MATCH(D9,P1_POA!$A$5:$A$200,0))=C9,0,1))</f>
        <v>0</v>
      </c>
    </row>
    <row r="10" customFormat="false" ht="15" hidden="false" customHeight="false" outlineLevel="0" collapsed="false">
      <c r="A10" s="38" t="s">
        <v>627</v>
      </c>
      <c r="B10" s="44" t="n">
        <v>46451</v>
      </c>
      <c r="C10" s="38" t="s">
        <v>301</v>
      </c>
      <c r="D10" s="38" t="s">
        <v>392</v>
      </c>
      <c r="E10" s="38" t="s">
        <v>628</v>
      </c>
      <c r="F10" s="38" t="s">
        <v>613</v>
      </c>
      <c r="G10" s="38" t="s">
        <v>629</v>
      </c>
      <c r="H10" s="38" t="s">
        <v>167</v>
      </c>
      <c r="I10" s="38" t="s">
        <v>596</v>
      </c>
      <c r="J10" s="45" t="n">
        <v>140870</v>
      </c>
      <c r="K10" s="38" t="s">
        <v>615</v>
      </c>
      <c r="L10" s="38" t="s">
        <v>616</v>
      </c>
      <c r="M10" s="38" t="s">
        <v>617</v>
      </c>
      <c r="N10" s="48" t="n">
        <f aca="false">IF(D10="","",IF(INDEX(P1_POA!$B$5:$B$200,MATCH(D10,P1_POA!$A$5:$A$200,0))=C10,0,1))</f>
        <v>0</v>
      </c>
    </row>
    <row r="11" customFormat="false" ht="15" hidden="false" customHeight="false" outlineLevel="0" collapsed="false">
      <c r="A11" s="38" t="s">
        <v>630</v>
      </c>
      <c r="B11" s="44" t="n">
        <v>46451</v>
      </c>
      <c r="C11" s="38" t="s">
        <v>330</v>
      </c>
      <c r="D11" s="38" t="s">
        <v>403</v>
      </c>
      <c r="E11" s="38" t="s">
        <v>623</v>
      </c>
      <c r="F11" s="38" t="s">
        <v>613</v>
      </c>
      <c r="G11" s="38" t="s">
        <v>631</v>
      </c>
      <c r="H11" s="38" t="s">
        <v>167</v>
      </c>
      <c r="I11" s="38" t="s">
        <v>596</v>
      </c>
      <c r="J11" s="45" t="n">
        <v>6810</v>
      </c>
      <c r="K11" s="38" t="s">
        <v>615</v>
      </c>
      <c r="L11" s="38" t="s">
        <v>616</v>
      </c>
      <c r="M11" s="38" t="s">
        <v>617</v>
      </c>
      <c r="N11" s="48" t="n">
        <f aca="false">IF(D11="","",IF(INDEX(P1_POA!$B$5:$B$200,MATCH(D11,P1_POA!$A$5:$A$200,0))=C11,0,1))</f>
        <v>0</v>
      </c>
    </row>
    <row r="12" customFormat="false" ht="15" hidden="false" customHeight="false" outlineLevel="0" collapsed="false">
      <c r="A12" s="38" t="s">
        <v>632</v>
      </c>
      <c r="B12" s="44" t="n">
        <v>46451</v>
      </c>
      <c r="C12" s="38" t="s">
        <v>330</v>
      </c>
      <c r="D12" s="38" t="s">
        <v>406</v>
      </c>
      <c r="E12" s="38" t="s">
        <v>633</v>
      </c>
      <c r="F12" s="38" t="s">
        <v>613</v>
      </c>
      <c r="G12" s="38" t="s">
        <v>634</v>
      </c>
      <c r="H12" s="38" t="s">
        <v>167</v>
      </c>
      <c r="I12" s="38" t="s">
        <v>596</v>
      </c>
      <c r="J12" s="45" t="n">
        <v>24870</v>
      </c>
      <c r="K12" s="38" t="s">
        <v>615</v>
      </c>
      <c r="L12" s="38" t="s">
        <v>616</v>
      </c>
      <c r="M12" s="38" t="s">
        <v>617</v>
      </c>
      <c r="N12" s="48" t="n">
        <f aca="false">IF(D12="","",IF(INDEX(P1_POA!$B$5:$B$200,MATCH(D12,P1_POA!$A$5:$A$200,0))=C12,0,1))</f>
        <v>0</v>
      </c>
    </row>
    <row r="13" customFormat="false" ht="15" hidden="false" customHeight="false" outlineLevel="0" collapsed="false">
      <c r="A13" s="38" t="s">
        <v>635</v>
      </c>
      <c r="B13" s="44" t="n">
        <v>46458</v>
      </c>
      <c r="C13" s="38" t="s">
        <v>330</v>
      </c>
      <c r="D13" s="38" t="s">
        <v>403</v>
      </c>
      <c r="E13" s="38" t="s">
        <v>636</v>
      </c>
      <c r="F13" s="38" t="s">
        <v>613</v>
      </c>
      <c r="G13" s="38" t="s">
        <v>624</v>
      </c>
      <c r="H13" s="38" t="s">
        <v>167</v>
      </c>
      <c r="I13" s="38" t="s">
        <v>596</v>
      </c>
      <c r="J13" s="45" t="n">
        <v>11650</v>
      </c>
      <c r="K13" s="38" t="s">
        <v>615</v>
      </c>
      <c r="L13" s="38" t="s">
        <v>616</v>
      </c>
      <c r="M13" s="38" t="s">
        <v>617</v>
      </c>
      <c r="N13" s="48" t="n">
        <f aca="false">IF(D13="","",IF(INDEX(P1_POA!$B$5:$B$200,MATCH(D13,P1_POA!$A$5:$A$200,0))=C13,0,1))</f>
        <v>0</v>
      </c>
    </row>
    <row r="14" customFormat="false" ht="15" hidden="false" customHeight="false" outlineLevel="0" collapsed="false">
      <c r="A14" s="38" t="s">
        <v>637</v>
      </c>
      <c r="B14" s="44" t="n">
        <v>46464</v>
      </c>
      <c r="C14" s="38" t="s">
        <v>287</v>
      </c>
      <c r="D14" s="38" t="s">
        <v>348</v>
      </c>
      <c r="E14" s="38" t="s">
        <v>638</v>
      </c>
      <c r="F14" s="38" t="s">
        <v>613</v>
      </c>
      <c r="G14" s="38" t="s">
        <v>639</v>
      </c>
      <c r="H14" s="38" t="s">
        <v>167</v>
      </c>
      <c r="I14" s="38" t="s">
        <v>596</v>
      </c>
      <c r="J14" s="45" t="n">
        <v>118000</v>
      </c>
      <c r="K14" s="38" t="s">
        <v>615</v>
      </c>
      <c r="L14" s="38" t="s">
        <v>616</v>
      </c>
      <c r="M14" s="38" t="s">
        <v>617</v>
      </c>
      <c r="N14" s="48" t="n">
        <f aca="false">IF(D14="","",IF(INDEX(P1_POA!$B$5:$B$200,MATCH(D14,P1_POA!$A$5:$A$200,0))=C14,0,1))</f>
        <v>0</v>
      </c>
    </row>
    <row r="15" customFormat="false" ht="15" hidden="false" customHeight="false" outlineLevel="0" collapsed="false">
      <c r="A15" s="38" t="s">
        <v>640</v>
      </c>
      <c r="B15" s="44" t="n">
        <v>46464</v>
      </c>
      <c r="C15" s="38" t="s">
        <v>287</v>
      </c>
      <c r="D15" s="38" t="s">
        <v>351</v>
      </c>
      <c r="E15" s="38"/>
      <c r="F15" s="38" t="s">
        <v>543</v>
      </c>
      <c r="G15" s="38" t="s">
        <v>641</v>
      </c>
      <c r="H15" s="38" t="s">
        <v>642</v>
      </c>
      <c r="I15" s="38" t="s">
        <v>596</v>
      </c>
      <c r="J15" s="45" t="n">
        <v>33920</v>
      </c>
      <c r="K15" s="38" t="s">
        <v>615</v>
      </c>
      <c r="L15" s="38" t="s">
        <v>616</v>
      </c>
      <c r="M15" s="38" t="s">
        <v>617</v>
      </c>
      <c r="N15" s="48" t="n">
        <f aca="false">IF(D15="","",IF(INDEX(P1_POA!$B$5:$B$200,MATCH(D15,P1_POA!$A$5:$A$200,0))=C15,0,1))</f>
        <v>0</v>
      </c>
    </row>
    <row r="16" customFormat="false" ht="15" hidden="false" customHeight="false" outlineLevel="0" collapsed="false">
      <c r="A16" s="38" t="s">
        <v>643</v>
      </c>
      <c r="B16" s="44" t="n">
        <v>46464</v>
      </c>
      <c r="C16" s="38" t="s">
        <v>273</v>
      </c>
      <c r="D16" s="38" t="s">
        <v>363</v>
      </c>
      <c r="E16" s="38" t="s">
        <v>644</v>
      </c>
      <c r="F16" s="38" t="s">
        <v>613</v>
      </c>
      <c r="G16" s="38" t="s">
        <v>645</v>
      </c>
      <c r="H16" s="38" t="s">
        <v>167</v>
      </c>
      <c r="I16" s="38" t="s">
        <v>596</v>
      </c>
      <c r="J16" s="45" t="n">
        <v>58800</v>
      </c>
      <c r="K16" s="38" t="s">
        <v>615</v>
      </c>
      <c r="L16" s="38" t="s">
        <v>616</v>
      </c>
      <c r="M16" s="38" t="s">
        <v>617</v>
      </c>
      <c r="N16" s="48" t="n">
        <f aca="false">IF(D16="","",IF(INDEX(P1_POA!$B$5:$B$200,MATCH(D16,P1_POA!$A$5:$A$200,0))=C16,0,1))</f>
        <v>0</v>
      </c>
    </row>
    <row r="17" customFormat="false" ht="15" hidden="false" customHeight="false" outlineLevel="0" collapsed="false">
      <c r="A17" s="38" t="s">
        <v>646</v>
      </c>
      <c r="B17" s="44" t="n">
        <v>46464</v>
      </c>
      <c r="C17" s="38" t="s">
        <v>282</v>
      </c>
      <c r="D17" s="38" t="s">
        <v>381</v>
      </c>
      <c r="E17" s="38" t="s">
        <v>647</v>
      </c>
      <c r="F17" s="38" t="s">
        <v>613</v>
      </c>
      <c r="G17" s="38" t="s">
        <v>648</v>
      </c>
      <c r="H17" s="38" t="s">
        <v>167</v>
      </c>
      <c r="I17" s="38" t="s">
        <v>596</v>
      </c>
      <c r="J17" s="45" t="n">
        <v>61360</v>
      </c>
      <c r="K17" s="38" t="s">
        <v>615</v>
      </c>
      <c r="L17" s="38" t="s">
        <v>616</v>
      </c>
      <c r="M17" s="38" t="s">
        <v>617</v>
      </c>
      <c r="N17" s="48" t="n">
        <f aca="false">IF(D17="","",IF(INDEX(P1_POA!$B$5:$B$200,MATCH(D17,P1_POA!$A$5:$A$200,0))=C17,0,1))</f>
        <v>0</v>
      </c>
    </row>
    <row r="18" customFormat="false" ht="15" hidden="false" customHeight="false" outlineLevel="0" collapsed="false">
      <c r="A18" s="38" t="s">
        <v>649</v>
      </c>
      <c r="B18" s="44" t="n">
        <v>46464</v>
      </c>
      <c r="C18" s="38" t="s">
        <v>330</v>
      </c>
      <c r="D18" s="38" t="s">
        <v>412</v>
      </c>
      <c r="E18" s="38" t="s">
        <v>650</v>
      </c>
      <c r="F18" s="38" t="s">
        <v>613</v>
      </c>
      <c r="G18" s="38" t="s">
        <v>651</v>
      </c>
      <c r="H18" s="38" t="s">
        <v>167</v>
      </c>
      <c r="I18" s="38" t="s">
        <v>597</v>
      </c>
      <c r="J18" s="45" t="n">
        <v>18000</v>
      </c>
      <c r="K18" s="38" t="s">
        <v>615</v>
      </c>
      <c r="L18" s="38" t="s">
        <v>616</v>
      </c>
      <c r="M18" s="38" t="s">
        <v>617</v>
      </c>
      <c r="N18" s="48" t="n">
        <f aca="false">IF(D18="","",IF(INDEX(P1_POA!$B$5:$B$200,MATCH(D18,P1_POA!$A$5:$A$200,0))=C18,0,1))</f>
        <v>0</v>
      </c>
    </row>
    <row r="19" customFormat="false" ht="15" hidden="false" customHeight="false" outlineLevel="0" collapsed="false">
      <c r="A19" s="38" t="s">
        <v>652</v>
      </c>
      <c r="B19" s="44" t="n">
        <v>46468</v>
      </c>
      <c r="C19" s="38" t="s">
        <v>330</v>
      </c>
      <c r="D19" s="38" t="s">
        <v>403</v>
      </c>
      <c r="E19" s="38" t="s">
        <v>636</v>
      </c>
      <c r="F19" s="38" t="s">
        <v>613</v>
      </c>
      <c r="G19" s="38" t="s">
        <v>626</v>
      </c>
      <c r="H19" s="38" t="s">
        <v>167</v>
      </c>
      <c r="I19" s="38" t="s">
        <v>596</v>
      </c>
      <c r="J19" s="45" t="n">
        <v>710</v>
      </c>
      <c r="K19" s="38" t="s">
        <v>615</v>
      </c>
      <c r="L19" s="38" t="s">
        <v>616</v>
      </c>
      <c r="M19" s="38" t="s">
        <v>617</v>
      </c>
      <c r="N19" s="48" t="n">
        <f aca="false">IF(D19="","",IF(INDEX(P1_POA!$B$5:$B$200,MATCH(D19,P1_POA!$A$5:$A$200,0))=C19,0,1))</f>
        <v>0</v>
      </c>
    </row>
    <row r="20" customFormat="false" ht="15" hidden="false" customHeight="false" outlineLevel="0" collapsed="false">
      <c r="A20" s="38" t="s">
        <v>653</v>
      </c>
      <c r="B20" s="44" t="n">
        <v>46469</v>
      </c>
      <c r="C20" s="38" t="s">
        <v>287</v>
      </c>
      <c r="D20" s="38" t="s">
        <v>357</v>
      </c>
      <c r="E20" s="38" t="s">
        <v>654</v>
      </c>
      <c r="F20" s="38" t="s">
        <v>613</v>
      </c>
      <c r="G20" s="38" t="s">
        <v>655</v>
      </c>
      <c r="H20" s="38" t="s">
        <v>642</v>
      </c>
      <c r="I20" s="38" t="s">
        <v>596</v>
      </c>
      <c r="J20" s="45" t="n">
        <v>45930</v>
      </c>
      <c r="K20" s="38" t="s">
        <v>615</v>
      </c>
      <c r="L20" s="38" t="s">
        <v>656</v>
      </c>
      <c r="M20" s="38" t="s">
        <v>657</v>
      </c>
      <c r="N20" s="48" t="n">
        <f aca="false">IF(D20="","",IF(INDEX(P1_POA!$B$5:$B$200,MATCH(D20,P1_POA!$A$5:$A$200,0))=C20,0,1))</f>
        <v>0</v>
      </c>
    </row>
    <row r="21" customFormat="false" ht="15" hidden="false" customHeight="false" outlineLevel="0" collapsed="false">
      <c r="A21" s="38" t="s">
        <v>658</v>
      </c>
      <c r="B21" s="44" t="n">
        <v>46476</v>
      </c>
      <c r="C21" s="38" t="s">
        <v>330</v>
      </c>
      <c r="D21" s="38" t="s">
        <v>403</v>
      </c>
      <c r="E21" s="38" t="s">
        <v>636</v>
      </c>
      <c r="F21" s="38" t="s">
        <v>613</v>
      </c>
      <c r="G21" s="38" t="s">
        <v>631</v>
      </c>
      <c r="H21" s="38" t="s">
        <v>167</v>
      </c>
      <c r="I21" s="38" t="s">
        <v>596</v>
      </c>
      <c r="J21" s="45" t="n">
        <v>11640</v>
      </c>
      <c r="K21" s="38" t="s">
        <v>615</v>
      </c>
      <c r="L21" s="38" t="s">
        <v>616</v>
      </c>
      <c r="M21" s="38" t="s">
        <v>617</v>
      </c>
      <c r="N21" s="48" t="n">
        <f aca="false">IF(D21="","",IF(INDEX(P1_POA!$B$5:$B$200,MATCH(D21,P1_POA!$A$5:$A$200,0))=C21,0,1))</f>
        <v>0</v>
      </c>
    </row>
    <row r="22" customFormat="false" ht="15" hidden="false" customHeight="false" outlineLevel="0" collapsed="false">
      <c r="A22" s="38" t="s">
        <v>659</v>
      </c>
      <c r="B22" s="44" t="n">
        <v>46479</v>
      </c>
      <c r="C22" s="38" t="s">
        <v>287</v>
      </c>
      <c r="D22" s="38" t="s">
        <v>354</v>
      </c>
      <c r="E22" s="38" t="s">
        <v>660</v>
      </c>
      <c r="F22" s="38" t="s">
        <v>613</v>
      </c>
      <c r="G22" s="38" t="s">
        <v>661</v>
      </c>
      <c r="H22" s="38" t="s">
        <v>642</v>
      </c>
      <c r="I22" s="38" t="s">
        <v>596</v>
      </c>
      <c r="J22" s="45" t="n">
        <v>105820</v>
      </c>
      <c r="K22" s="38" t="s">
        <v>615</v>
      </c>
      <c r="L22" s="38" t="s">
        <v>656</v>
      </c>
      <c r="M22" s="38" t="s">
        <v>657</v>
      </c>
      <c r="N22" s="48" t="n">
        <f aca="false">IF(D22="","",IF(INDEX(P1_POA!$B$5:$B$200,MATCH(D22,P1_POA!$A$5:$A$200,0))=C22,0,1))</f>
        <v>0</v>
      </c>
    </row>
    <row r="23" customFormat="false" ht="15" hidden="false" customHeight="false" outlineLevel="0" collapsed="false">
      <c r="A23" s="38" t="s">
        <v>662</v>
      </c>
      <c r="B23" s="44" t="n">
        <v>46479</v>
      </c>
      <c r="C23" s="38" t="s">
        <v>301</v>
      </c>
      <c r="D23" s="38" t="s">
        <v>395</v>
      </c>
      <c r="E23" s="38" t="s">
        <v>663</v>
      </c>
      <c r="F23" s="38" t="s">
        <v>613</v>
      </c>
      <c r="G23" s="38" t="s">
        <v>664</v>
      </c>
      <c r="H23" s="38" t="s">
        <v>642</v>
      </c>
      <c r="I23" s="38" t="s">
        <v>596</v>
      </c>
      <c r="J23" s="45" t="n">
        <v>195720</v>
      </c>
      <c r="K23" s="38" t="s">
        <v>615</v>
      </c>
      <c r="L23" s="38" t="s">
        <v>656</v>
      </c>
      <c r="M23" s="38" t="s">
        <v>657</v>
      </c>
      <c r="N23" s="48" t="n">
        <f aca="false">IF(D23="","",IF(INDEX(P1_POA!$B$5:$B$200,MATCH(D23,P1_POA!$A$5:$A$200,0))=C23,0,1))</f>
        <v>0</v>
      </c>
    </row>
    <row r="24" customFormat="false" ht="15" hidden="false" customHeight="false" outlineLevel="0" collapsed="false">
      <c r="A24" s="38" t="s">
        <v>665</v>
      </c>
      <c r="B24" s="44" t="n">
        <v>46484</v>
      </c>
      <c r="C24" s="38" t="s">
        <v>330</v>
      </c>
      <c r="D24" s="38" t="s">
        <v>403</v>
      </c>
      <c r="E24" s="38" t="s">
        <v>666</v>
      </c>
      <c r="F24" s="38" t="s">
        <v>613</v>
      </c>
      <c r="G24" s="38" t="s">
        <v>624</v>
      </c>
      <c r="H24" s="38" t="s">
        <v>167</v>
      </c>
      <c r="I24" s="38" t="s">
        <v>596</v>
      </c>
      <c r="J24" s="45" t="n">
        <v>8740</v>
      </c>
      <c r="K24" s="38" t="s">
        <v>615</v>
      </c>
      <c r="L24" s="38" t="s">
        <v>616</v>
      </c>
      <c r="M24" s="38" t="s">
        <v>617</v>
      </c>
      <c r="N24" s="48" t="n">
        <f aca="false">IF(D24="","",IF(INDEX(P1_POA!$B$5:$B$200,MATCH(D24,P1_POA!$A$5:$A$200,0))=C24,0,1))</f>
        <v>0</v>
      </c>
    </row>
    <row r="25" customFormat="false" ht="15" hidden="false" customHeight="false" outlineLevel="0" collapsed="false">
      <c r="A25" s="38" t="s">
        <v>667</v>
      </c>
      <c r="B25" s="44" t="n">
        <v>46485</v>
      </c>
      <c r="C25" s="38" t="s">
        <v>273</v>
      </c>
      <c r="D25" s="38" t="s">
        <v>366</v>
      </c>
      <c r="E25" s="38"/>
      <c r="F25" s="38" t="s">
        <v>561</v>
      </c>
      <c r="G25" s="38" t="s">
        <v>668</v>
      </c>
      <c r="H25" s="38" t="s">
        <v>642</v>
      </c>
      <c r="I25" s="38" t="s">
        <v>596</v>
      </c>
      <c r="J25" s="45" t="n">
        <v>36900</v>
      </c>
      <c r="K25" s="38" t="s">
        <v>615</v>
      </c>
      <c r="L25" s="38" t="s">
        <v>616</v>
      </c>
      <c r="M25" s="38" t="s">
        <v>617</v>
      </c>
      <c r="N25" s="48" t="n">
        <f aca="false">IF(D25="","",IF(INDEX(P1_POA!$B$5:$B$200,MATCH(D25,P1_POA!$A$5:$A$200,0))=C25,0,1))</f>
        <v>0</v>
      </c>
    </row>
    <row r="26" customFormat="false" ht="15" hidden="false" customHeight="false" outlineLevel="0" collapsed="false">
      <c r="A26" s="38" t="s">
        <v>669</v>
      </c>
      <c r="B26" s="44" t="n">
        <v>46490</v>
      </c>
      <c r="C26" s="38" t="s">
        <v>301</v>
      </c>
      <c r="D26" s="38" t="s">
        <v>392</v>
      </c>
      <c r="E26" s="38" t="s">
        <v>628</v>
      </c>
      <c r="F26" s="38" t="s">
        <v>613</v>
      </c>
      <c r="G26" s="38" t="s">
        <v>670</v>
      </c>
      <c r="H26" s="38" t="s">
        <v>167</v>
      </c>
      <c r="I26" s="38" t="s">
        <v>596</v>
      </c>
      <c r="J26" s="45" t="n">
        <v>191130</v>
      </c>
      <c r="K26" s="38" t="s">
        <v>615</v>
      </c>
      <c r="L26" s="38" t="s">
        <v>616</v>
      </c>
      <c r="M26" s="38" t="s">
        <v>617</v>
      </c>
      <c r="N26" s="48" t="n">
        <f aca="false">IF(D26="","",IF(INDEX(P1_POA!$B$5:$B$200,MATCH(D26,P1_POA!$A$5:$A$200,0))=C26,0,1))</f>
        <v>0</v>
      </c>
    </row>
    <row r="27" customFormat="false" ht="15" hidden="false" customHeight="false" outlineLevel="0" collapsed="false">
      <c r="A27" s="38" t="s">
        <v>671</v>
      </c>
      <c r="B27" s="44" t="n">
        <v>46490</v>
      </c>
      <c r="C27" s="38" t="s">
        <v>330</v>
      </c>
      <c r="D27" s="38" t="s">
        <v>406</v>
      </c>
      <c r="E27" s="38" t="s">
        <v>633</v>
      </c>
      <c r="F27" s="38" t="s">
        <v>613</v>
      </c>
      <c r="G27" s="38" t="s">
        <v>672</v>
      </c>
      <c r="H27" s="38" t="s">
        <v>167</v>
      </c>
      <c r="I27" s="38" t="s">
        <v>596</v>
      </c>
      <c r="J27" s="45" t="n">
        <v>77330</v>
      </c>
      <c r="K27" s="38" t="s">
        <v>615</v>
      </c>
      <c r="L27" s="38" t="s">
        <v>616</v>
      </c>
      <c r="M27" s="38" t="s">
        <v>617</v>
      </c>
      <c r="N27" s="48" t="n">
        <f aca="false">IF(D27="","",IF(INDEX(P1_POA!$B$5:$B$200,MATCH(D27,P1_POA!$A$5:$A$200,0))=C27,0,1))</f>
        <v>0</v>
      </c>
    </row>
    <row r="28" customFormat="false" ht="15" hidden="false" customHeight="false" outlineLevel="0" collapsed="false">
      <c r="A28" s="38" t="s">
        <v>673</v>
      </c>
      <c r="B28" s="44" t="n">
        <v>46492</v>
      </c>
      <c r="C28" s="38" t="s">
        <v>330</v>
      </c>
      <c r="D28" s="38" t="s">
        <v>403</v>
      </c>
      <c r="E28" s="38" t="s">
        <v>666</v>
      </c>
      <c r="F28" s="38" t="s">
        <v>613</v>
      </c>
      <c r="G28" s="38" t="s">
        <v>626</v>
      </c>
      <c r="H28" s="38" t="s">
        <v>167</v>
      </c>
      <c r="I28" s="38" t="s">
        <v>596</v>
      </c>
      <c r="J28" s="45" t="n">
        <v>10430</v>
      </c>
      <c r="K28" s="38" t="s">
        <v>615</v>
      </c>
      <c r="L28" s="38" t="s">
        <v>616</v>
      </c>
      <c r="M28" s="38" t="s">
        <v>617</v>
      </c>
      <c r="N28" s="48" t="n">
        <f aca="false">IF(D28="","",IF(INDEX(P1_POA!$B$5:$B$200,MATCH(D28,P1_POA!$A$5:$A$200,0))=C28,0,1))</f>
        <v>0</v>
      </c>
    </row>
    <row r="29" customFormat="false" ht="15" hidden="false" customHeight="false" outlineLevel="0" collapsed="false">
      <c r="A29" s="38" t="s">
        <v>674</v>
      </c>
      <c r="B29" s="44" t="n">
        <v>46493</v>
      </c>
      <c r="C29" s="38" t="s">
        <v>287</v>
      </c>
      <c r="D29" s="38" t="s">
        <v>357</v>
      </c>
      <c r="E29" s="38" t="s">
        <v>654</v>
      </c>
      <c r="F29" s="38" t="s">
        <v>613</v>
      </c>
      <c r="G29" s="38" t="s">
        <v>675</v>
      </c>
      <c r="H29" s="38" t="s">
        <v>642</v>
      </c>
      <c r="I29" s="38" t="s">
        <v>596</v>
      </c>
      <c r="J29" s="45" t="n">
        <v>103170</v>
      </c>
      <c r="K29" s="38" t="s">
        <v>615</v>
      </c>
      <c r="L29" s="38" t="s">
        <v>656</v>
      </c>
      <c r="M29" s="38" t="s">
        <v>657</v>
      </c>
      <c r="N29" s="48" t="n">
        <f aca="false">IF(D29="","",IF(INDEX(P1_POA!$B$5:$B$200,MATCH(D29,P1_POA!$A$5:$A$200,0))=C29,0,1))</f>
        <v>0</v>
      </c>
    </row>
    <row r="30" customFormat="false" ht="15" hidden="false" customHeight="false" outlineLevel="0" collapsed="false">
      <c r="A30" s="38" t="s">
        <v>676</v>
      </c>
      <c r="B30" s="44" t="n">
        <v>46493</v>
      </c>
      <c r="C30" s="38" t="s">
        <v>273</v>
      </c>
      <c r="D30" s="38" t="s">
        <v>369</v>
      </c>
      <c r="E30" s="38"/>
      <c r="F30" s="38" t="s">
        <v>543</v>
      </c>
      <c r="G30" s="38" t="s">
        <v>677</v>
      </c>
      <c r="H30" s="38" t="s">
        <v>678</v>
      </c>
      <c r="I30" s="38" t="s">
        <v>596</v>
      </c>
      <c r="J30" s="45" t="n">
        <v>16080</v>
      </c>
      <c r="K30" s="38" t="s">
        <v>615</v>
      </c>
      <c r="L30" s="38" t="s">
        <v>616</v>
      </c>
      <c r="M30" s="38" t="s">
        <v>617</v>
      </c>
      <c r="N30" s="48" t="n">
        <f aca="false">IF(D30="","",IF(INDEX(P1_POA!$B$5:$B$200,MATCH(D30,P1_POA!$A$5:$A$200,0))=C30,0,1))</f>
        <v>0</v>
      </c>
    </row>
    <row r="31" customFormat="false" ht="15" hidden="false" customHeight="false" outlineLevel="0" collapsed="false">
      <c r="A31" s="38" t="s">
        <v>679</v>
      </c>
      <c r="B31" s="44" t="n">
        <v>46493</v>
      </c>
      <c r="C31" s="38" t="s">
        <v>330</v>
      </c>
      <c r="D31" s="38" t="s">
        <v>415</v>
      </c>
      <c r="E31" s="38"/>
      <c r="F31" s="38" t="s">
        <v>613</v>
      </c>
      <c r="G31" s="38" t="s">
        <v>680</v>
      </c>
      <c r="H31" s="38" t="s">
        <v>642</v>
      </c>
      <c r="I31" s="38" t="s">
        <v>596</v>
      </c>
      <c r="J31" s="45" t="n">
        <v>15890</v>
      </c>
      <c r="K31" s="38" t="s">
        <v>615</v>
      </c>
      <c r="L31" s="38" t="s">
        <v>616</v>
      </c>
      <c r="M31" s="38" t="s">
        <v>617</v>
      </c>
      <c r="N31" s="48" t="n">
        <f aca="false">IF(D31="","",IF(INDEX(P1_POA!$B$5:$B$200,MATCH(D31,P1_POA!$A$5:$A$200,0))=C31,0,1))</f>
        <v>0</v>
      </c>
    </row>
    <row r="32" customFormat="false" ht="15" hidden="false" customHeight="false" outlineLevel="0" collapsed="false">
      <c r="A32" s="38" t="s">
        <v>681</v>
      </c>
      <c r="B32" s="44" t="n">
        <v>46498</v>
      </c>
      <c r="C32" s="38" t="s">
        <v>287</v>
      </c>
      <c r="D32" s="38" t="s">
        <v>351</v>
      </c>
      <c r="E32" s="38"/>
      <c r="F32" s="38" t="s">
        <v>553</v>
      </c>
      <c r="G32" s="38" t="s">
        <v>682</v>
      </c>
      <c r="H32" s="38" t="s">
        <v>642</v>
      </c>
      <c r="I32" s="38" t="s">
        <v>596</v>
      </c>
      <c r="J32" s="45" t="n">
        <v>27320</v>
      </c>
      <c r="K32" s="38" t="s">
        <v>615</v>
      </c>
      <c r="L32" s="38" t="s">
        <v>616</v>
      </c>
      <c r="M32" s="38" t="s">
        <v>617</v>
      </c>
      <c r="N32" s="48" t="n">
        <f aca="false">IF(D32="","",IF(INDEX(P1_POA!$B$5:$B$200,MATCH(D32,P1_POA!$A$5:$A$200,0))=C32,0,1))</f>
        <v>0</v>
      </c>
    </row>
    <row r="33" customFormat="false" ht="15" hidden="false" customHeight="false" outlineLevel="0" collapsed="false">
      <c r="A33" s="38" t="s">
        <v>683</v>
      </c>
      <c r="B33" s="44" t="n">
        <v>46498</v>
      </c>
      <c r="C33" s="38" t="s">
        <v>282</v>
      </c>
      <c r="D33" s="38" t="s">
        <v>381</v>
      </c>
      <c r="E33" s="38" t="s">
        <v>647</v>
      </c>
      <c r="F33" s="38" t="s">
        <v>613</v>
      </c>
      <c r="G33" s="38" t="s">
        <v>684</v>
      </c>
      <c r="H33" s="38" t="s">
        <v>167</v>
      </c>
      <c r="I33" s="38" t="s">
        <v>596</v>
      </c>
      <c r="J33" s="45" t="n">
        <v>123640</v>
      </c>
      <c r="K33" s="38" t="s">
        <v>615</v>
      </c>
      <c r="L33" s="38" t="s">
        <v>616</v>
      </c>
      <c r="M33" s="38" t="s">
        <v>617</v>
      </c>
      <c r="N33" s="48" t="n">
        <f aca="false">IF(D33="","",IF(INDEX(P1_POA!$B$5:$B$200,MATCH(D33,P1_POA!$A$5:$A$200,0))=C33,0,1))</f>
        <v>0</v>
      </c>
    </row>
    <row r="34" customFormat="false" ht="15" hidden="false" customHeight="false" outlineLevel="0" collapsed="false">
      <c r="A34" s="38" t="s">
        <v>685</v>
      </c>
      <c r="B34" s="44" t="n">
        <v>46498</v>
      </c>
      <c r="C34" s="38" t="s">
        <v>330</v>
      </c>
      <c r="D34" s="38" t="s">
        <v>412</v>
      </c>
      <c r="E34" s="38"/>
      <c r="F34" s="38" t="s">
        <v>613</v>
      </c>
      <c r="G34" s="38" t="s">
        <v>686</v>
      </c>
      <c r="H34" s="38" t="s">
        <v>642</v>
      </c>
      <c r="I34" s="38" t="s">
        <v>597</v>
      </c>
      <c r="J34" s="45" t="n">
        <v>13640</v>
      </c>
      <c r="K34" s="38" t="s">
        <v>615</v>
      </c>
      <c r="L34" s="38" t="s">
        <v>616</v>
      </c>
      <c r="M34" s="38" t="s">
        <v>617</v>
      </c>
      <c r="N34" s="48" t="n">
        <f aca="false">IF(D34="","",IF(INDEX(P1_POA!$B$5:$B$200,MATCH(D34,P1_POA!$A$5:$A$200,0))=C34,0,1))</f>
        <v>0</v>
      </c>
    </row>
    <row r="35" customFormat="false" ht="15" hidden="false" customHeight="false" outlineLevel="0" collapsed="false">
      <c r="A35" s="38" t="s">
        <v>687</v>
      </c>
      <c r="B35" s="44" t="n">
        <v>46500</v>
      </c>
      <c r="C35" s="38" t="s">
        <v>287</v>
      </c>
      <c r="D35" s="38" t="s">
        <v>354</v>
      </c>
      <c r="E35" s="38" t="s">
        <v>660</v>
      </c>
      <c r="F35" s="38" t="s">
        <v>613</v>
      </c>
      <c r="G35" s="38" t="s">
        <v>688</v>
      </c>
      <c r="H35" s="38" t="s">
        <v>642</v>
      </c>
      <c r="I35" s="38" t="s">
        <v>596</v>
      </c>
      <c r="J35" s="45" t="n">
        <v>36680</v>
      </c>
      <c r="K35" s="38" t="s">
        <v>615</v>
      </c>
      <c r="L35" s="38" t="s">
        <v>656</v>
      </c>
      <c r="M35" s="38" t="s">
        <v>657</v>
      </c>
      <c r="N35" s="48" t="n">
        <f aca="false">IF(D35="","",IF(INDEX(P1_POA!$B$5:$B$200,MATCH(D35,P1_POA!$A$5:$A$200,0))=C35,0,1))</f>
        <v>0</v>
      </c>
    </row>
    <row r="36" customFormat="false" ht="15" hidden="false" customHeight="false" outlineLevel="0" collapsed="false">
      <c r="A36" s="38" t="s">
        <v>689</v>
      </c>
      <c r="B36" s="44" t="n">
        <v>46500</v>
      </c>
      <c r="C36" s="38" t="s">
        <v>273</v>
      </c>
      <c r="D36" s="38" t="s">
        <v>369</v>
      </c>
      <c r="E36" s="38"/>
      <c r="F36" s="38" t="s">
        <v>545</v>
      </c>
      <c r="G36" s="38" t="s">
        <v>690</v>
      </c>
      <c r="H36" s="38" t="s">
        <v>678</v>
      </c>
      <c r="I36" s="38" t="s">
        <v>596</v>
      </c>
      <c r="J36" s="45" t="n">
        <v>7900</v>
      </c>
      <c r="K36" s="38" t="s">
        <v>615</v>
      </c>
      <c r="L36" s="38" t="s">
        <v>616</v>
      </c>
      <c r="M36" s="38" t="s">
        <v>617</v>
      </c>
      <c r="N36" s="48" t="n">
        <f aca="false">IF(D36="","",IF(INDEX(P1_POA!$B$5:$B$200,MATCH(D36,P1_POA!$A$5:$A$200,0))=C36,0,1))</f>
        <v>0</v>
      </c>
    </row>
    <row r="37" customFormat="false" ht="15" hidden="false" customHeight="false" outlineLevel="0" collapsed="false">
      <c r="A37" s="38" t="s">
        <v>691</v>
      </c>
      <c r="B37" s="44" t="n">
        <v>46500</v>
      </c>
      <c r="C37" s="38" t="s">
        <v>301</v>
      </c>
      <c r="D37" s="38" t="s">
        <v>395</v>
      </c>
      <c r="E37" s="38" t="s">
        <v>663</v>
      </c>
      <c r="F37" s="38" t="s">
        <v>613</v>
      </c>
      <c r="G37" s="38" t="s">
        <v>692</v>
      </c>
      <c r="H37" s="38" t="s">
        <v>642</v>
      </c>
      <c r="I37" s="38" t="s">
        <v>596</v>
      </c>
      <c r="J37" s="45" t="n">
        <v>109130</v>
      </c>
      <c r="K37" s="38" t="s">
        <v>615</v>
      </c>
      <c r="L37" s="38" t="s">
        <v>656</v>
      </c>
      <c r="M37" s="38" t="s">
        <v>657</v>
      </c>
      <c r="N37" s="48" t="n">
        <f aca="false">IF(D37="","",IF(INDEX(P1_POA!$B$5:$B$200,MATCH(D37,P1_POA!$A$5:$A$200,0))=C37,0,1))</f>
        <v>0</v>
      </c>
    </row>
    <row r="38" customFormat="false" ht="15" hidden="false" customHeight="false" outlineLevel="0" collapsed="false">
      <c r="A38" s="38" t="s">
        <v>693</v>
      </c>
      <c r="B38" s="44" t="n">
        <v>46500</v>
      </c>
      <c r="C38" s="38" t="s">
        <v>330</v>
      </c>
      <c r="D38" s="38" t="s">
        <v>403</v>
      </c>
      <c r="E38" s="38" t="s">
        <v>666</v>
      </c>
      <c r="F38" s="38" t="s">
        <v>613</v>
      </c>
      <c r="G38" s="38" t="s">
        <v>631</v>
      </c>
      <c r="H38" s="38" t="s">
        <v>167</v>
      </c>
      <c r="I38" s="38" t="s">
        <v>596</v>
      </c>
      <c r="J38" s="45" t="n">
        <v>4830</v>
      </c>
      <c r="K38" s="38" t="s">
        <v>615</v>
      </c>
      <c r="L38" s="38" t="s">
        <v>616</v>
      </c>
      <c r="M38" s="38" t="s">
        <v>617</v>
      </c>
      <c r="N38" s="48" t="n">
        <f aca="false">IF(D38="","",IF(INDEX(P1_POA!$B$5:$B$200,MATCH(D38,P1_POA!$A$5:$A$200,0))=C38,0,1))</f>
        <v>0</v>
      </c>
    </row>
    <row r="39" customFormat="false" ht="15" hidden="false" customHeight="false" outlineLevel="0" collapsed="false">
      <c r="A39" s="38" t="s">
        <v>694</v>
      </c>
      <c r="B39" s="44" t="n">
        <v>46505</v>
      </c>
      <c r="C39" s="38" t="s">
        <v>273</v>
      </c>
      <c r="D39" s="38" t="s">
        <v>369</v>
      </c>
      <c r="E39" s="38"/>
      <c r="F39" s="38" t="s">
        <v>547</v>
      </c>
      <c r="G39" s="38" t="s">
        <v>695</v>
      </c>
      <c r="H39" s="38" t="s">
        <v>678</v>
      </c>
      <c r="I39" s="38" t="s">
        <v>596</v>
      </c>
      <c r="J39" s="45" t="n">
        <v>13590</v>
      </c>
      <c r="K39" s="38" t="s">
        <v>615</v>
      </c>
      <c r="L39" s="38" t="s">
        <v>616</v>
      </c>
      <c r="M39" s="38" t="s">
        <v>617</v>
      </c>
      <c r="N39" s="48" t="n">
        <f aca="false">IF(D39="","",IF(INDEX(P1_POA!$B$5:$B$200,MATCH(D39,P1_POA!$A$5:$A$200,0))=C39,0,1))</f>
        <v>0</v>
      </c>
    </row>
    <row r="40" customFormat="false" ht="15" hidden="false" customHeight="false" outlineLevel="0" collapsed="false">
      <c r="A40" s="38" t="s">
        <v>696</v>
      </c>
      <c r="B40" s="44" t="n">
        <v>46507</v>
      </c>
      <c r="C40" s="38" t="s">
        <v>330</v>
      </c>
      <c r="D40" s="38" t="s">
        <v>403</v>
      </c>
      <c r="E40" s="38" t="s">
        <v>697</v>
      </c>
      <c r="F40" s="38" t="s">
        <v>613</v>
      </c>
      <c r="G40" s="38" t="s">
        <v>624</v>
      </c>
      <c r="H40" s="38" t="s">
        <v>167</v>
      </c>
      <c r="I40" s="38" t="s">
        <v>596</v>
      </c>
      <c r="J40" s="45" t="n">
        <v>10770</v>
      </c>
      <c r="K40" s="38" t="s">
        <v>615</v>
      </c>
      <c r="L40" s="38" t="s">
        <v>616</v>
      </c>
      <c r="M40" s="38" t="s">
        <v>617</v>
      </c>
      <c r="N40" s="48" t="n">
        <f aca="false">IF(D40="","",IF(INDEX(P1_POA!$B$5:$B$200,MATCH(D40,P1_POA!$A$5:$A$200,0))=C40,0,1))</f>
        <v>0</v>
      </c>
    </row>
    <row r="41" customFormat="false" ht="15" hidden="false" customHeight="false" outlineLevel="0" collapsed="false">
      <c r="A41" s="38" t="s">
        <v>698</v>
      </c>
      <c r="B41" s="44" t="n">
        <v>46510</v>
      </c>
      <c r="C41" s="38" t="s">
        <v>273</v>
      </c>
      <c r="D41" s="38" t="s">
        <v>369</v>
      </c>
      <c r="E41" s="38"/>
      <c r="F41" s="38" t="s">
        <v>549</v>
      </c>
      <c r="G41" s="38" t="s">
        <v>699</v>
      </c>
      <c r="H41" s="38" t="s">
        <v>678</v>
      </c>
      <c r="I41" s="38" t="s">
        <v>596</v>
      </c>
      <c r="J41" s="45" t="n">
        <v>13310</v>
      </c>
      <c r="K41" s="38" t="s">
        <v>615</v>
      </c>
      <c r="L41" s="38" t="s">
        <v>616</v>
      </c>
      <c r="M41" s="38" t="s">
        <v>617</v>
      </c>
      <c r="N41" s="48" t="n">
        <f aca="false">IF(D41="","",IF(INDEX(P1_POA!$B$5:$B$200,MATCH(D41,P1_POA!$A$5:$A$200,0))=C41,0,1))</f>
        <v>0</v>
      </c>
    </row>
    <row r="42" customFormat="false" ht="15" hidden="false" customHeight="false" outlineLevel="0" collapsed="false">
      <c r="A42" s="38" t="s">
        <v>700</v>
      </c>
      <c r="B42" s="44" t="n">
        <v>46512</v>
      </c>
      <c r="C42" s="38" t="s">
        <v>273</v>
      </c>
      <c r="D42" s="38" t="s">
        <v>366</v>
      </c>
      <c r="E42" s="38"/>
      <c r="F42" s="38" t="s">
        <v>553</v>
      </c>
      <c r="G42" s="38" t="s">
        <v>701</v>
      </c>
      <c r="H42" s="38" t="s">
        <v>642</v>
      </c>
      <c r="I42" s="38" t="s">
        <v>596</v>
      </c>
      <c r="J42" s="45" t="n">
        <v>54910</v>
      </c>
      <c r="K42" s="38" t="s">
        <v>615</v>
      </c>
      <c r="L42" s="38" t="s">
        <v>616</v>
      </c>
      <c r="M42" s="38" t="s">
        <v>617</v>
      </c>
      <c r="N42" s="48" t="n">
        <f aca="false">IF(D42="","",IF(INDEX(P1_POA!$B$5:$B$200,MATCH(D42,P1_POA!$A$5:$A$200,0))=C42,0,1))</f>
        <v>0</v>
      </c>
    </row>
    <row r="43" customFormat="false" ht="15" hidden="false" customHeight="false" outlineLevel="0" collapsed="false">
      <c r="A43" s="38" t="s">
        <v>702</v>
      </c>
      <c r="B43" s="44" t="n">
        <v>46514</v>
      </c>
      <c r="C43" s="38" t="s">
        <v>287</v>
      </c>
      <c r="D43" s="38" t="s">
        <v>348</v>
      </c>
      <c r="E43" s="38"/>
      <c r="F43" s="38" t="s">
        <v>613</v>
      </c>
      <c r="G43" s="38" t="s">
        <v>703</v>
      </c>
      <c r="H43" s="38" t="s">
        <v>642</v>
      </c>
      <c r="I43" s="38" t="s">
        <v>596</v>
      </c>
      <c r="J43" s="45" t="n">
        <v>6000</v>
      </c>
      <c r="K43" s="38" t="s">
        <v>615</v>
      </c>
      <c r="L43" s="38" t="s">
        <v>616</v>
      </c>
      <c r="M43" s="38" t="s">
        <v>617</v>
      </c>
      <c r="N43" s="48" t="n">
        <f aca="false">IF(D43="","",IF(INDEX(P1_POA!$B$5:$B$200,MATCH(D43,P1_POA!$A$5:$A$200,0))=C43,0,1))</f>
        <v>0</v>
      </c>
    </row>
    <row r="44" customFormat="false" ht="15" hidden="false" customHeight="false" outlineLevel="0" collapsed="false">
      <c r="A44" s="38" t="s">
        <v>704</v>
      </c>
      <c r="B44" s="44" t="n">
        <v>46514</v>
      </c>
      <c r="C44" s="38" t="s">
        <v>273</v>
      </c>
      <c r="D44" s="38" t="s">
        <v>363</v>
      </c>
      <c r="E44" s="38"/>
      <c r="F44" s="38" t="s">
        <v>613</v>
      </c>
      <c r="G44" s="38" t="s">
        <v>705</v>
      </c>
      <c r="H44" s="38" t="s">
        <v>642</v>
      </c>
      <c r="I44" s="38" t="s">
        <v>596</v>
      </c>
      <c r="J44" s="45" t="n">
        <v>5000</v>
      </c>
      <c r="K44" s="38" t="s">
        <v>615</v>
      </c>
      <c r="L44" s="38" t="s">
        <v>616</v>
      </c>
      <c r="M44" s="38" t="s">
        <v>617</v>
      </c>
      <c r="N44" s="48" t="n">
        <f aca="false">IF(D44="","",IF(INDEX(P1_POA!$B$5:$B$200,MATCH(D44,P1_POA!$A$5:$A$200,0))=C44,0,1))</f>
        <v>0</v>
      </c>
    </row>
    <row r="45" customFormat="false" ht="15" hidden="false" customHeight="false" outlineLevel="0" collapsed="false">
      <c r="A45" s="38" t="s">
        <v>706</v>
      </c>
      <c r="B45" s="44" t="n">
        <v>46514</v>
      </c>
      <c r="C45" s="38" t="s">
        <v>273</v>
      </c>
      <c r="D45" s="38" t="s">
        <v>369</v>
      </c>
      <c r="E45" s="38"/>
      <c r="F45" s="38" t="s">
        <v>551</v>
      </c>
      <c r="G45" s="38" t="s">
        <v>707</v>
      </c>
      <c r="H45" s="38" t="s">
        <v>678</v>
      </c>
      <c r="I45" s="38" t="s">
        <v>596</v>
      </c>
      <c r="J45" s="45" t="n">
        <v>43680</v>
      </c>
      <c r="K45" s="38" t="s">
        <v>615</v>
      </c>
      <c r="L45" s="38" t="s">
        <v>616</v>
      </c>
      <c r="M45" s="38" t="s">
        <v>617</v>
      </c>
      <c r="N45" s="48" t="n">
        <f aca="false">IF(D45="","",IF(INDEX(P1_POA!$B$5:$B$200,MATCH(D45,P1_POA!$A$5:$A$200,0))=C45,0,1))</f>
        <v>0</v>
      </c>
    </row>
    <row r="46" customFormat="false" ht="15" hidden="false" customHeight="false" outlineLevel="0" collapsed="false">
      <c r="A46" s="38" t="s">
        <v>708</v>
      </c>
      <c r="B46" s="44" t="n">
        <v>46514</v>
      </c>
      <c r="C46" s="38" t="s">
        <v>273</v>
      </c>
      <c r="D46" s="38" t="s">
        <v>372</v>
      </c>
      <c r="E46" s="38" t="s">
        <v>709</v>
      </c>
      <c r="F46" s="38" t="s">
        <v>613</v>
      </c>
      <c r="G46" s="38" t="s">
        <v>710</v>
      </c>
      <c r="H46" s="38" t="s">
        <v>167</v>
      </c>
      <c r="I46" s="38" t="s">
        <v>596</v>
      </c>
      <c r="J46" s="45" t="n">
        <v>77120</v>
      </c>
      <c r="K46" s="38" t="s">
        <v>615</v>
      </c>
      <c r="L46" s="38" t="s">
        <v>616</v>
      </c>
      <c r="M46" s="38" t="s">
        <v>617</v>
      </c>
      <c r="N46" s="48" t="n">
        <f aca="false">IF(D46="","",IF(INDEX(P1_POA!$B$5:$B$200,MATCH(D46,P1_POA!$A$5:$A$200,0))=C46,0,1))</f>
        <v>0</v>
      </c>
    </row>
    <row r="47" customFormat="false" ht="15" hidden="false" customHeight="false" outlineLevel="0" collapsed="false">
      <c r="A47" s="38" t="s">
        <v>711</v>
      </c>
      <c r="B47" s="44" t="n">
        <v>46514</v>
      </c>
      <c r="C47" s="38" t="s">
        <v>282</v>
      </c>
      <c r="D47" s="38" t="s">
        <v>384</v>
      </c>
      <c r="E47" s="38" t="s">
        <v>712</v>
      </c>
      <c r="F47" s="38" t="s">
        <v>613</v>
      </c>
      <c r="G47" s="38" t="s">
        <v>713</v>
      </c>
      <c r="H47" s="38" t="s">
        <v>167</v>
      </c>
      <c r="I47" s="38" t="s">
        <v>596</v>
      </c>
      <c r="J47" s="45" t="n">
        <v>27200</v>
      </c>
      <c r="K47" s="38" t="s">
        <v>615</v>
      </c>
      <c r="L47" s="38" t="s">
        <v>616</v>
      </c>
      <c r="M47" s="38" t="s">
        <v>617</v>
      </c>
      <c r="N47" s="48" t="n">
        <f aca="false">IF(D47="","",IF(INDEX(P1_POA!$B$5:$B$200,MATCH(D47,P1_POA!$A$5:$A$200,0))=C47,0,1))</f>
        <v>0</v>
      </c>
    </row>
    <row r="48" customFormat="false" ht="15" hidden="false" customHeight="false" outlineLevel="0" collapsed="false">
      <c r="A48" s="38" t="s">
        <v>714</v>
      </c>
      <c r="B48" s="44" t="n">
        <v>46514</v>
      </c>
      <c r="C48" s="38" t="s">
        <v>301</v>
      </c>
      <c r="D48" s="38" t="s">
        <v>400</v>
      </c>
      <c r="E48" s="38"/>
      <c r="F48" s="38" t="s">
        <v>613</v>
      </c>
      <c r="G48" s="38" t="s">
        <v>715</v>
      </c>
      <c r="H48" s="38" t="s">
        <v>642</v>
      </c>
      <c r="I48" s="38" t="s">
        <v>596</v>
      </c>
      <c r="J48" s="45" t="n">
        <v>17640</v>
      </c>
      <c r="K48" s="38" t="s">
        <v>615</v>
      </c>
      <c r="L48" s="38" t="s">
        <v>616</v>
      </c>
      <c r="M48" s="38" t="s">
        <v>617</v>
      </c>
      <c r="N48" s="48" t="n">
        <f aca="false">IF(D48="","",IF(INDEX(P1_POA!$B$5:$B$200,MATCH(D48,P1_POA!$A$5:$A$200,0))=C48,0,1))</f>
        <v>0</v>
      </c>
    </row>
    <row r="49" customFormat="false" ht="15" hidden="false" customHeight="false" outlineLevel="0" collapsed="false">
      <c r="A49" s="38" t="s">
        <v>716</v>
      </c>
      <c r="B49" s="44" t="n">
        <v>46517</v>
      </c>
      <c r="C49" s="38" t="s">
        <v>287</v>
      </c>
      <c r="D49" s="38" t="s">
        <v>357</v>
      </c>
      <c r="E49" s="38"/>
      <c r="F49" s="38" t="s">
        <v>613</v>
      </c>
      <c r="G49" s="38" t="s">
        <v>717</v>
      </c>
      <c r="H49" s="38" t="s">
        <v>718</v>
      </c>
      <c r="I49" s="38" t="s">
        <v>596</v>
      </c>
      <c r="J49" s="45" t="n">
        <v>27860</v>
      </c>
      <c r="K49" s="38" t="s">
        <v>615</v>
      </c>
      <c r="L49" s="38" t="s">
        <v>616</v>
      </c>
      <c r="M49" s="38" t="s">
        <v>617</v>
      </c>
      <c r="N49" s="48" t="n">
        <f aca="false">IF(D49="","",IF(INDEX(P1_POA!$B$5:$B$200,MATCH(D49,P1_POA!$A$5:$A$200,0))=C49,0,1))</f>
        <v>0</v>
      </c>
    </row>
    <row r="50" customFormat="false" ht="15" hidden="false" customHeight="false" outlineLevel="0" collapsed="false">
      <c r="A50" s="38" t="s">
        <v>719</v>
      </c>
      <c r="B50" s="44" t="n">
        <v>46517</v>
      </c>
      <c r="C50" s="38" t="s">
        <v>330</v>
      </c>
      <c r="D50" s="38" t="s">
        <v>403</v>
      </c>
      <c r="E50" s="38" t="s">
        <v>697</v>
      </c>
      <c r="F50" s="38" t="s">
        <v>613</v>
      </c>
      <c r="G50" s="38" t="s">
        <v>626</v>
      </c>
      <c r="H50" s="38" t="s">
        <v>167</v>
      </c>
      <c r="I50" s="38" t="s">
        <v>596</v>
      </c>
      <c r="J50" s="45" t="n">
        <v>2210</v>
      </c>
      <c r="K50" s="38" t="s">
        <v>615</v>
      </c>
      <c r="L50" s="38" t="s">
        <v>616</v>
      </c>
      <c r="M50" s="38" t="s">
        <v>617</v>
      </c>
      <c r="N50" s="48" t="n">
        <f aca="false">IF(D50="","",IF(INDEX(P1_POA!$B$5:$B$200,MATCH(D50,P1_POA!$A$5:$A$200,0))=C50,0,1))</f>
        <v>0</v>
      </c>
    </row>
    <row r="51" customFormat="false" ht="15" hidden="false" customHeight="false" outlineLevel="0" collapsed="false">
      <c r="A51" s="38" t="s">
        <v>720</v>
      </c>
      <c r="B51" s="44" t="n">
        <v>46520</v>
      </c>
      <c r="C51" s="38" t="s">
        <v>273</v>
      </c>
      <c r="D51" s="38" t="s">
        <v>369</v>
      </c>
      <c r="E51" s="38"/>
      <c r="F51" s="38" t="s">
        <v>553</v>
      </c>
      <c r="G51" s="38" t="s">
        <v>721</v>
      </c>
      <c r="H51" s="38" t="s">
        <v>678</v>
      </c>
      <c r="I51" s="38" t="s">
        <v>596</v>
      </c>
      <c r="J51" s="45" t="n">
        <v>19270</v>
      </c>
      <c r="K51" s="38" t="s">
        <v>615</v>
      </c>
      <c r="L51" s="38" t="s">
        <v>616</v>
      </c>
      <c r="M51" s="38" t="s">
        <v>617</v>
      </c>
      <c r="N51" s="48" t="n">
        <f aca="false">IF(D51="","",IF(INDEX(P1_POA!$B$5:$B$200,MATCH(D51,P1_POA!$A$5:$A$200,0))=C51,0,1))</f>
        <v>0</v>
      </c>
    </row>
    <row r="52" customFormat="false" ht="15" hidden="false" customHeight="false" outlineLevel="0" collapsed="false">
      <c r="A52" s="38" t="s">
        <v>722</v>
      </c>
      <c r="B52" s="44" t="n">
        <v>46521</v>
      </c>
      <c r="C52" s="38" t="s">
        <v>287</v>
      </c>
      <c r="D52" s="38" t="s">
        <v>354</v>
      </c>
      <c r="E52" s="38"/>
      <c r="F52" s="38" t="s">
        <v>613</v>
      </c>
      <c r="G52" s="38" t="s">
        <v>723</v>
      </c>
      <c r="H52" s="38" t="s">
        <v>718</v>
      </c>
      <c r="I52" s="38" t="s">
        <v>596</v>
      </c>
      <c r="J52" s="45" t="n">
        <v>6200</v>
      </c>
      <c r="K52" s="38" t="s">
        <v>615</v>
      </c>
      <c r="L52" s="38" t="s">
        <v>616</v>
      </c>
      <c r="M52" s="38" t="s">
        <v>617</v>
      </c>
      <c r="N52" s="48" t="n">
        <f aca="false">IF(D52="","",IF(INDEX(P1_POA!$B$5:$B$200,MATCH(D52,P1_POA!$A$5:$A$200,0))=C52,0,1))</f>
        <v>0</v>
      </c>
    </row>
    <row r="53" customFormat="false" ht="15" hidden="false" customHeight="false" outlineLevel="0" collapsed="false">
      <c r="A53" s="38" t="s">
        <v>724</v>
      </c>
      <c r="B53" s="44" t="n">
        <v>46521</v>
      </c>
      <c r="C53" s="38" t="s">
        <v>301</v>
      </c>
      <c r="D53" s="38" t="s">
        <v>395</v>
      </c>
      <c r="E53" s="38"/>
      <c r="F53" s="38" t="s">
        <v>613</v>
      </c>
      <c r="G53" s="38" t="s">
        <v>725</v>
      </c>
      <c r="H53" s="38" t="s">
        <v>718</v>
      </c>
      <c r="I53" s="38" t="s">
        <v>596</v>
      </c>
      <c r="J53" s="45" t="n">
        <v>15560</v>
      </c>
      <c r="K53" s="38" t="s">
        <v>615</v>
      </c>
      <c r="L53" s="38" t="s">
        <v>616</v>
      </c>
      <c r="M53" s="38" t="s">
        <v>617</v>
      </c>
      <c r="N53" s="48" t="n">
        <f aca="false">IF(D53="","",IF(INDEX(P1_POA!$B$5:$B$200,MATCH(D53,P1_POA!$A$5:$A$200,0))=C53,0,1))</f>
        <v>0</v>
      </c>
    </row>
    <row r="54" customFormat="false" ht="15" hidden="false" customHeight="false" outlineLevel="0" collapsed="false">
      <c r="A54" s="38" t="s">
        <v>726</v>
      </c>
      <c r="B54" s="44" t="n">
        <v>46525</v>
      </c>
      <c r="C54" s="38" t="s">
        <v>273</v>
      </c>
      <c r="D54" s="38" t="s">
        <v>369</v>
      </c>
      <c r="E54" s="38"/>
      <c r="F54" s="38" t="s">
        <v>555</v>
      </c>
      <c r="G54" s="38" t="s">
        <v>727</v>
      </c>
      <c r="H54" s="38" t="s">
        <v>678</v>
      </c>
      <c r="I54" s="38" t="s">
        <v>596</v>
      </c>
      <c r="J54" s="45" t="n">
        <v>12890</v>
      </c>
      <c r="K54" s="38" t="s">
        <v>615</v>
      </c>
      <c r="L54" s="38" t="s">
        <v>616</v>
      </c>
      <c r="M54" s="38" t="s">
        <v>617</v>
      </c>
      <c r="N54" s="48" t="n">
        <f aca="false">IF(D54="","",IF(INDEX(P1_POA!$B$5:$B$200,MATCH(D54,P1_POA!$A$5:$A$200,0))=C54,0,1))</f>
        <v>0</v>
      </c>
    </row>
    <row r="55" customFormat="false" ht="15" hidden="false" customHeight="false" outlineLevel="0" collapsed="false">
      <c r="A55" s="38" t="s">
        <v>728</v>
      </c>
      <c r="B55" s="44" t="n">
        <v>46525</v>
      </c>
      <c r="C55" s="38" t="s">
        <v>330</v>
      </c>
      <c r="D55" s="38" t="s">
        <v>403</v>
      </c>
      <c r="E55" s="38" t="s">
        <v>697</v>
      </c>
      <c r="F55" s="38" t="s">
        <v>613</v>
      </c>
      <c r="G55" s="38" t="s">
        <v>631</v>
      </c>
      <c r="H55" s="38" t="s">
        <v>167</v>
      </c>
      <c r="I55" s="38" t="s">
        <v>596</v>
      </c>
      <c r="J55" s="45" t="n">
        <v>11020</v>
      </c>
      <c r="K55" s="38" t="s">
        <v>615</v>
      </c>
      <c r="L55" s="38" t="s">
        <v>616</v>
      </c>
      <c r="M55" s="38" t="s">
        <v>617</v>
      </c>
      <c r="N55" s="48" t="n">
        <f aca="false">IF(D55="","",IF(INDEX(P1_POA!$B$5:$B$200,MATCH(D55,P1_POA!$A$5:$A$200,0))=C55,0,1))</f>
        <v>0</v>
      </c>
    </row>
    <row r="56" customFormat="false" ht="15" hidden="false" customHeight="false" outlineLevel="0" collapsed="false">
      <c r="A56" s="38" t="s">
        <v>729</v>
      </c>
      <c r="B56" s="44" t="n">
        <v>46528</v>
      </c>
      <c r="C56" s="38" t="s">
        <v>273</v>
      </c>
      <c r="D56" s="38" t="s">
        <v>369</v>
      </c>
      <c r="E56" s="38"/>
      <c r="F56" s="38" t="s">
        <v>557</v>
      </c>
      <c r="G56" s="38" t="s">
        <v>730</v>
      </c>
      <c r="H56" s="38" t="s">
        <v>678</v>
      </c>
      <c r="I56" s="38" t="s">
        <v>596</v>
      </c>
      <c r="J56" s="45" t="n">
        <v>9150</v>
      </c>
      <c r="K56" s="38" t="s">
        <v>615</v>
      </c>
      <c r="L56" s="38" t="s">
        <v>616</v>
      </c>
      <c r="M56" s="38" t="s">
        <v>617</v>
      </c>
      <c r="N56" s="48" t="n">
        <f aca="false">IF(D56="","",IF(INDEX(P1_POA!$B$5:$B$200,MATCH(D56,P1_POA!$A$5:$A$200,0))=C56,0,1))</f>
        <v>0</v>
      </c>
    </row>
    <row r="57" customFormat="false" ht="15" hidden="false" customHeight="false" outlineLevel="0" collapsed="false">
      <c r="A57" s="38" t="s">
        <v>731</v>
      </c>
      <c r="B57" s="44" t="n">
        <v>46528</v>
      </c>
      <c r="C57" s="38" t="s">
        <v>273</v>
      </c>
      <c r="D57" s="38" t="s">
        <v>372</v>
      </c>
      <c r="E57" s="38" t="s">
        <v>709</v>
      </c>
      <c r="F57" s="38" t="s">
        <v>613</v>
      </c>
      <c r="G57" s="38" t="s">
        <v>732</v>
      </c>
      <c r="H57" s="38" t="s">
        <v>167</v>
      </c>
      <c r="I57" s="38" t="s">
        <v>596</v>
      </c>
      <c r="J57" s="45" t="n">
        <v>41380</v>
      </c>
      <c r="K57" s="38" t="s">
        <v>615</v>
      </c>
      <c r="L57" s="38" t="s">
        <v>616</v>
      </c>
      <c r="M57" s="38" t="s">
        <v>617</v>
      </c>
      <c r="N57" s="48" t="n">
        <f aca="false">IF(D57="","",IF(INDEX(P1_POA!$B$5:$B$200,MATCH(D57,P1_POA!$A$5:$A$200,0))=C57,0,1))</f>
        <v>0</v>
      </c>
    </row>
    <row r="58" customFormat="false" ht="15" hidden="false" customHeight="false" outlineLevel="0" collapsed="false">
      <c r="A58" s="38" t="s">
        <v>733</v>
      </c>
      <c r="B58" s="44" t="n">
        <v>46528</v>
      </c>
      <c r="C58" s="38" t="s">
        <v>301</v>
      </c>
      <c r="D58" s="38" t="s">
        <v>392</v>
      </c>
      <c r="E58" s="38"/>
      <c r="F58" s="38" t="s">
        <v>613</v>
      </c>
      <c r="G58" s="38" t="s">
        <v>734</v>
      </c>
      <c r="H58" s="38" t="s">
        <v>642</v>
      </c>
      <c r="I58" s="38" t="s">
        <v>596</v>
      </c>
      <c r="J58" s="45" t="n">
        <v>6000</v>
      </c>
      <c r="K58" s="38" t="s">
        <v>615</v>
      </c>
      <c r="L58" s="38" t="s">
        <v>616</v>
      </c>
      <c r="M58" s="38" t="s">
        <v>617</v>
      </c>
      <c r="N58" s="48" t="n">
        <f aca="false">IF(D58="","",IF(INDEX(P1_POA!$B$5:$B$200,MATCH(D58,P1_POA!$A$5:$A$200,0))=C58,0,1))</f>
        <v>0</v>
      </c>
    </row>
    <row r="59" customFormat="false" ht="15" hidden="false" customHeight="false" outlineLevel="0" collapsed="false">
      <c r="A59" s="38" t="s">
        <v>735</v>
      </c>
      <c r="B59" s="44" t="n">
        <v>46528</v>
      </c>
      <c r="C59" s="38" t="s">
        <v>330</v>
      </c>
      <c r="D59" s="38" t="s">
        <v>406</v>
      </c>
      <c r="E59" s="38"/>
      <c r="F59" s="38" t="s">
        <v>613</v>
      </c>
      <c r="G59" s="38" t="s">
        <v>736</v>
      </c>
      <c r="H59" s="38" t="s">
        <v>642</v>
      </c>
      <c r="I59" s="38" t="s">
        <v>596</v>
      </c>
      <c r="J59" s="45" t="n">
        <v>15000</v>
      </c>
      <c r="K59" s="38" t="s">
        <v>615</v>
      </c>
      <c r="L59" s="38" t="s">
        <v>616</v>
      </c>
      <c r="M59" s="38" t="s">
        <v>617</v>
      </c>
      <c r="N59" s="48" t="n">
        <f aca="false">IF(D59="","",IF(INDEX(P1_POA!$B$5:$B$200,MATCH(D59,P1_POA!$A$5:$A$200,0))=C59,0,1))</f>
        <v>0</v>
      </c>
    </row>
    <row r="60" customFormat="false" ht="15" hidden="false" customHeight="false" outlineLevel="0" collapsed="false">
      <c r="A60" s="38" t="s">
        <v>737</v>
      </c>
      <c r="B60" s="44" t="n">
        <v>46528</v>
      </c>
      <c r="C60" s="38" t="s">
        <v>330</v>
      </c>
      <c r="D60" s="38" t="s">
        <v>415</v>
      </c>
      <c r="E60" s="38"/>
      <c r="F60" s="38" t="s">
        <v>613</v>
      </c>
      <c r="G60" s="38" t="s">
        <v>738</v>
      </c>
      <c r="H60" s="38" t="s">
        <v>642</v>
      </c>
      <c r="I60" s="38" t="s">
        <v>596</v>
      </c>
      <c r="J60" s="45" t="n">
        <v>12110</v>
      </c>
      <c r="K60" s="38" t="s">
        <v>615</v>
      </c>
      <c r="L60" s="38" t="s">
        <v>616</v>
      </c>
      <c r="M60" s="38" t="s">
        <v>617</v>
      </c>
      <c r="N60" s="48" t="n">
        <f aca="false">IF(D60="","",IF(INDEX(P1_POA!$B$5:$B$200,MATCH(D60,P1_POA!$A$5:$A$200,0))=C60,0,1))</f>
        <v>0</v>
      </c>
    </row>
    <row r="61" customFormat="false" ht="15" hidden="false" customHeight="false" outlineLevel="0" collapsed="false">
      <c r="A61" s="38" t="s">
        <v>739</v>
      </c>
      <c r="B61" s="44" t="n">
        <v>46532</v>
      </c>
      <c r="C61" s="38" t="s">
        <v>287</v>
      </c>
      <c r="D61" s="38" t="s">
        <v>351</v>
      </c>
      <c r="E61" s="38"/>
      <c r="F61" s="38" t="s">
        <v>557</v>
      </c>
      <c r="G61" s="38" t="s">
        <v>740</v>
      </c>
      <c r="H61" s="38" t="s">
        <v>642</v>
      </c>
      <c r="I61" s="38" t="s">
        <v>596</v>
      </c>
      <c r="J61" s="45" t="n">
        <v>66760</v>
      </c>
      <c r="K61" s="38" t="s">
        <v>615</v>
      </c>
      <c r="L61" s="38" t="s">
        <v>616</v>
      </c>
      <c r="M61" s="38" t="s">
        <v>617</v>
      </c>
      <c r="N61" s="48" t="n">
        <f aca="false">IF(D61="","",IF(INDEX(P1_POA!$B$5:$B$200,MATCH(D61,P1_POA!$A$5:$A$200,0))=C61,0,1))</f>
        <v>0</v>
      </c>
    </row>
    <row r="62" customFormat="false" ht="15" hidden="false" customHeight="false" outlineLevel="0" collapsed="false">
      <c r="A62" s="38" t="s">
        <v>741</v>
      </c>
      <c r="B62" s="44" t="n">
        <v>46532</v>
      </c>
      <c r="C62" s="38" t="s">
        <v>282</v>
      </c>
      <c r="D62" s="38" t="s">
        <v>381</v>
      </c>
      <c r="E62" s="38"/>
      <c r="F62" s="38" t="s">
        <v>613</v>
      </c>
      <c r="G62" s="38" t="s">
        <v>742</v>
      </c>
      <c r="H62" s="38" t="s">
        <v>642</v>
      </c>
      <c r="I62" s="38" t="s">
        <v>596</v>
      </c>
      <c r="J62" s="45" t="n">
        <v>4000</v>
      </c>
      <c r="K62" s="38" t="s">
        <v>615</v>
      </c>
      <c r="L62" s="38" t="s">
        <v>616</v>
      </c>
      <c r="M62" s="38" t="s">
        <v>617</v>
      </c>
      <c r="N62" s="48" t="n">
        <f aca="false">IF(D62="","",IF(INDEX(P1_POA!$B$5:$B$200,MATCH(D62,P1_POA!$A$5:$A$200,0))=C62,0,1))</f>
        <v>0</v>
      </c>
    </row>
    <row r="63" customFormat="false" ht="15" hidden="false" customHeight="false" outlineLevel="0" collapsed="false">
      <c r="A63" s="38" t="s">
        <v>743</v>
      </c>
      <c r="B63" s="44" t="n">
        <v>46532</v>
      </c>
      <c r="C63" s="38" t="s">
        <v>330</v>
      </c>
      <c r="D63" s="38" t="s">
        <v>412</v>
      </c>
      <c r="E63" s="38"/>
      <c r="F63" s="38" t="s">
        <v>613</v>
      </c>
      <c r="G63" s="38" t="s">
        <v>744</v>
      </c>
      <c r="H63" s="38" t="s">
        <v>642</v>
      </c>
      <c r="I63" s="38" t="s">
        <v>597</v>
      </c>
      <c r="J63" s="45" t="n">
        <v>6360</v>
      </c>
      <c r="K63" s="38" t="s">
        <v>615</v>
      </c>
      <c r="L63" s="38" t="s">
        <v>616</v>
      </c>
      <c r="M63" s="38" t="s">
        <v>617</v>
      </c>
      <c r="N63" s="48" t="n">
        <f aca="false">IF(D63="","",IF(INDEX(P1_POA!$B$5:$B$200,MATCH(D63,P1_POA!$A$5:$A$200,0))=C63,0,1))</f>
        <v>0</v>
      </c>
    </row>
    <row r="64" customFormat="false" ht="15" hidden="false" customHeight="false" outlineLevel="0" collapsed="false">
      <c r="A64" s="38" t="s">
        <v>745</v>
      </c>
      <c r="B64" s="44" t="n">
        <v>46533</v>
      </c>
      <c r="C64" s="38" t="s">
        <v>330</v>
      </c>
      <c r="D64" s="38" t="s">
        <v>403</v>
      </c>
      <c r="E64" s="38"/>
      <c r="F64" s="38" t="s">
        <v>613</v>
      </c>
      <c r="G64" s="38" t="s">
        <v>746</v>
      </c>
      <c r="H64" s="38" t="s">
        <v>747</v>
      </c>
      <c r="I64" s="38" t="s">
        <v>596</v>
      </c>
      <c r="J64" s="45" t="n">
        <v>26220</v>
      </c>
      <c r="K64" s="38" t="s">
        <v>615</v>
      </c>
      <c r="L64" s="38" t="s">
        <v>616</v>
      </c>
      <c r="M64" s="38" t="s">
        <v>617</v>
      </c>
      <c r="N64" s="48" t="n">
        <f aca="false">IF(D64="","",IF(INDEX(P1_POA!$B$5:$B$200,MATCH(D64,P1_POA!$A$5:$A$200,0))=C64,0,1))</f>
        <v>0</v>
      </c>
    </row>
    <row r="65" customFormat="false" ht="15" hidden="false" customHeight="false" outlineLevel="0" collapsed="false">
      <c r="A65" s="38" t="s">
        <v>748</v>
      </c>
      <c r="B65" s="44" t="n">
        <v>46535</v>
      </c>
      <c r="C65" s="38" t="s">
        <v>273</v>
      </c>
      <c r="D65" s="38" t="s">
        <v>369</v>
      </c>
      <c r="E65" s="38"/>
      <c r="F65" s="38" t="s">
        <v>559</v>
      </c>
      <c r="G65" s="38" t="s">
        <v>749</v>
      </c>
      <c r="H65" s="38" t="s">
        <v>678</v>
      </c>
      <c r="I65" s="38" t="s">
        <v>596</v>
      </c>
      <c r="J65" s="45" t="n">
        <v>31340</v>
      </c>
      <c r="K65" s="38" t="s">
        <v>615</v>
      </c>
      <c r="L65" s="38" t="s">
        <v>616</v>
      </c>
      <c r="M65" s="38" t="s">
        <v>617</v>
      </c>
      <c r="N65" s="48" t="n">
        <f aca="false">IF(D65="","",IF(INDEX(P1_POA!$B$5:$B$200,MATCH(D65,P1_POA!$A$5:$A$200,0))=C65,0,1))</f>
        <v>0</v>
      </c>
    </row>
    <row r="66" customFormat="false" ht="15" hidden="false" customHeight="false" outlineLevel="0" collapsed="false">
      <c r="A66" s="38" t="s">
        <v>750</v>
      </c>
      <c r="B66" s="44" t="n">
        <v>46535</v>
      </c>
      <c r="C66" s="38" t="s">
        <v>273</v>
      </c>
      <c r="D66" s="38" t="s">
        <v>375</v>
      </c>
      <c r="E66" s="38"/>
      <c r="F66" s="38" t="s">
        <v>563</v>
      </c>
      <c r="G66" s="38" t="s">
        <v>751</v>
      </c>
      <c r="H66" s="38" t="s">
        <v>642</v>
      </c>
      <c r="I66" s="38" t="s">
        <v>597</v>
      </c>
      <c r="J66" s="45" t="n">
        <v>11460</v>
      </c>
      <c r="K66" s="38" t="s">
        <v>615</v>
      </c>
      <c r="L66" s="38" t="s">
        <v>616</v>
      </c>
      <c r="M66" s="38" t="s">
        <v>617</v>
      </c>
      <c r="N66" s="48" t="n">
        <f aca="false">IF(D66="","",IF(INDEX(P1_POA!$B$5:$B$200,MATCH(D66,P1_POA!$A$5:$A$200,0))=C66,0,1))</f>
        <v>0</v>
      </c>
    </row>
    <row r="67" customFormat="false" ht="15" hidden="false" customHeight="false" outlineLevel="0" collapsed="false">
      <c r="A67" s="38" t="s">
        <v>752</v>
      </c>
      <c r="B67" s="44" t="n">
        <v>46535</v>
      </c>
      <c r="C67" s="38" t="s">
        <v>282</v>
      </c>
      <c r="D67" s="38" t="s">
        <v>386</v>
      </c>
      <c r="E67" s="38"/>
      <c r="F67" s="38" t="s">
        <v>549</v>
      </c>
      <c r="G67" s="38" t="s">
        <v>753</v>
      </c>
      <c r="H67" s="38" t="s">
        <v>642</v>
      </c>
      <c r="I67" s="38" t="s">
        <v>596</v>
      </c>
      <c r="J67" s="45" t="n">
        <v>18890</v>
      </c>
      <c r="K67" s="38" t="s">
        <v>615</v>
      </c>
      <c r="L67" s="38" t="s">
        <v>616</v>
      </c>
      <c r="M67" s="38" t="s">
        <v>617</v>
      </c>
      <c r="N67" s="48" t="n">
        <f aca="false">IF(D67="","",IF(INDEX(P1_POA!$B$5:$B$200,MATCH(D67,P1_POA!$A$5:$A$200,0))=C67,0,1))</f>
        <v>0</v>
      </c>
    </row>
    <row r="68" customFormat="false" ht="15" hidden="false" customHeight="false" outlineLevel="0" collapsed="false">
      <c r="A68" s="38" t="s">
        <v>754</v>
      </c>
      <c r="B68" s="44" t="n">
        <v>46539</v>
      </c>
      <c r="C68" s="38" t="s">
        <v>273</v>
      </c>
      <c r="D68" s="38" t="s">
        <v>366</v>
      </c>
      <c r="E68" s="38"/>
      <c r="F68" s="38" t="s">
        <v>551</v>
      </c>
      <c r="G68" s="38" t="s">
        <v>755</v>
      </c>
      <c r="H68" s="38" t="s">
        <v>642</v>
      </c>
      <c r="I68" s="38" t="s">
        <v>596</v>
      </c>
      <c r="J68" s="45" t="n">
        <v>58190</v>
      </c>
      <c r="K68" s="38" t="s">
        <v>615</v>
      </c>
      <c r="L68" s="38" t="s">
        <v>616</v>
      </c>
      <c r="M68" s="38" t="s">
        <v>756</v>
      </c>
      <c r="N68" s="48" t="n">
        <f aca="false">IF(D68="","",IF(INDEX(P1_POA!$B$5:$B$200,MATCH(D68,P1_POA!$A$5:$A$200,0))=C68,0,1))</f>
        <v>0</v>
      </c>
    </row>
    <row r="69" customFormat="false" ht="15" hidden="false" customHeight="false" outlineLevel="0" collapsed="false">
      <c r="A69" s="38" t="s">
        <v>757</v>
      </c>
      <c r="B69" s="44" t="n">
        <v>46540</v>
      </c>
      <c r="C69" s="38" t="s">
        <v>273</v>
      </c>
      <c r="D69" s="38" t="s">
        <v>369</v>
      </c>
      <c r="E69" s="38"/>
      <c r="F69" s="38" t="s">
        <v>561</v>
      </c>
      <c r="G69" s="38" t="s">
        <v>758</v>
      </c>
      <c r="H69" s="38" t="s">
        <v>678</v>
      </c>
      <c r="I69" s="38" t="s">
        <v>596</v>
      </c>
      <c r="J69" s="45" t="n">
        <v>56290</v>
      </c>
      <c r="K69" s="38" t="s">
        <v>615</v>
      </c>
      <c r="L69" s="38" t="s">
        <v>616</v>
      </c>
      <c r="M69" s="38" t="s">
        <v>756</v>
      </c>
      <c r="N69" s="48" t="n">
        <f aca="false">IF(D69="","",IF(INDEX(P1_POA!$B$5:$B$200,MATCH(D69,P1_POA!$A$5:$A$200,0))=C69,0,1))</f>
        <v>0</v>
      </c>
    </row>
    <row r="70" customFormat="false" ht="15" hidden="false" customHeight="false" outlineLevel="0" collapsed="false">
      <c r="A70" s="38" t="s">
        <v>759</v>
      </c>
      <c r="B70" s="44" t="n">
        <v>46540</v>
      </c>
      <c r="C70" s="38" t="s">
        <v>282</v>
      </c>
      <c r="D70" s="38" t="s">
        <v>384</v>
      </c>
      <c r="E70" s="38"/>
      <c r="F70" s="38" t="s">
        <v>613</v>
      </c>
      <c r="G70" s="38" t="s">
        <v>760</v>
      </c>
      <c r="H70" s="38" t="s">
        <v>642</v>
      </c>
      <c r="I70" s="38" t="s">
        <v>596</v>
      </c>
      <c r="J70" s="45" t="n">
        <v>12000</v>
      </c>
      <c r="K70" s="38" t="s">
        <v>615</v>
      </c>
      <c r="L70" s="38" t="s">
        <v>616</v>
      </c>
      <c r="M70" s="38" t="s">
        <v>756</v>
      </c>
      <c r="N70" s="48" t="n">
        <f aca="false">IF(D70="","",IF(INDEX(P1_POA!$B$5:$B$200,MATCH(D70,P1_POA!$A$5:$A$200,0))=C70,0,1))</f>
        <v>0</v>
      </c>
    </row>
    <row r="71" customFormat="false" ht="15" hidden="false" customHeight="false" outlineLevel="0" collapsed="false">
      <c r="A71" s="38" t="s">
        <v>761</v>
      </c>
      <c r="B71" s="44" t="n">
        <v>46540</v>
      </c>
      <c r="C71" s="38" t="s">
        <v>301</v>
      </c>
      <c r="D71" s="38" t="s">
        <v>400</v>
      </c>
      <c r="E71" s="38"/>
      <c r="F71" s="38" t="s">
        <v>613</v>
      </c>
      <c r="G71" s="38" t="s">
        <v>762</v>
      </c>
      <c r="H71" s="38" t="s">
        <v>642</v>
      </c>
      <c r="I71" s="38" t="s">
        <v>596</v>
      </c>
      <c r="J71" s="45" t="n">
        <v>7360</v>
      </c>
      <c r="K71" s="38" t="s">
        <v>615</v>
      </c>
      <c r="L71" s="38" t="s">
        <v>616</v>
      </c>
      <c r="M71" s="38" t="s">
        <v>756</v>
      </c>
      <c r="N71" s="48" t="n">
        <f aca="false">IF(D71="","",IF(INDEX(P1_POA!$B$5:$B$200,MATCH(D71,P1_POA!$A$5:$A$200,0))=C71,0,1))</f>
        <v>0</v>
      </c>
    </row>
    <row r="72" customFormat="false" ht="15" hidden="false" customHeight="false" outlineLevel="0" collapsed="false">
      <c r="A72" s="38" t="s">
        <v>763</v>
      </c>
      <c r="B72" s="44" t="n">
        <v>46541</v>
      </c>
      <c r="C72" s="38" t="s">
        <v>287</v>
      </c>
      <c r="D72" s="38" t="s">
        <v>357</v>
      </c>
      <c r="E72" s="38"/>
      <c r="F72" s="38" t="s">
        <v>613</v>
      </c>
      <c r="G72" s="38" t="s">
        <v>764</v>
      </c>
      <c r="H72" s="38" t="s">
        <v>718</v>
      </c>
      <c r="I72" s="38" t="s">
        <v>596</v>
      </c>
      <c r="J72" s="45" t="n">
        <v>22140</v>
      </c>
      <c r="K72" s="38" t="s">
        <v>615</v>
      </c>
      <c r="L72" s="38" t="s">
        <v>616</v>
      </c>
      <c r="M72" s="38" t="s">
        <v>756</v>
      </c>
      <c r="N72" s="48" t="n">
        <f aca="false">IF(D72="","",IF(INDEX(P1_POA!$B$5:$B$200,MATCH(D72,P1_POA!$A$5:$A$200,0))=C72,0,1))</f>
        <v>0</v>
      </c>
    </row>
    <row r="73" customFormat="false" ht="15" hidden="false" customHeight="false" outlineLevel="0" collapsed="false">
      <c r="A73" s="38" t="s">
        <v>765</v>
      </c>
      <c r="B73" s="44" t="n">
        <v>46541</v>
      </c>
      <c r="C73" s="38" t="s">
        <v>273</v>
      </c>
      <c r="D73" s="38" t="s">
        <v>372</v>
      </c>
      <c r="E73" s="38"/>
      <c r="F73" s="38" t="s">
        <v>565</v>
      </c>
      <c r="G73" s="38" t="s">
        <v>766</v>
      </c>
      <c r="H73" s="38" t="s">
        <v>718</v>
      </c>
      <c r="I73" s="38" t="s">
        <v>596</v>
      </c>
      <c r="J73" s="45" t="n">
        <v>15230</v>
      </c>
      <c r="K73" s="38" t="s">
        <v>615</v>
      </c>
      <c r="L73" s="38" t="s">
        <v>616</v>
      </c>
      <c r="M73" s="38" t="s">
        <v>756</v>
      </c>
      <c r="N73" s="48" t="n">
        <f aca="false">IF(D73="","",IF(INDEX(P1_POA!$B$5:$B$200,MATCH(D73,P1_POA!$A$5:$A$200,0))=C73,0,1))</f>
        <v>0</v>
      </c>
    </row>
    <row r="74" customFormat="false" ht="15" hidden="false" customHeight="false" outlineLevel="0" collapsed="false">
      <c r="A74" s="38" t="s">
        <v>767</v>
      </c>
      <c r="B74" s="44" t="n">
        <v>46541</v>
      </c>
      <c r="C74" s="38" t="s">
        <v>330</v>
      </c>
      <c r="D74" s="38" t="s">
        <v>403</v>
      </c>
      <c r="E74" s="38"/>
      <c r="F74" s="38" t="s">
        <v>613</v>
      </c>
      <c r="G74" s="38" t="s">
        <v>768</v>
      </c>
      <c r="H74" s="38" t="s">
        <v>747</v>
      </c>
      <c r="I74" s="38" t="s">
        <v>596</v>
      </c>
      <c r="J74" s="45" t="n">
        <v>13780</v>
      </c>
      <c r="K74" s="38" t="s">
        <v>615</v>
      </c>
      <c r="L74" s="38" t="s">
        <v>616</v>
      </c>
      <c r="M74" s="38" t="s">
        <v>756</v>
      </c>
      <c r="N74" s="48" t="n">
        <f aca="false">IF(D74="","",IF(INDEX(P1_POA!$B$5:$B$200,MATCH(D74,P1_POA!$A$5:$A$200,0))=C74,0,1))</f>
        <v>0</v>
      </c>
    </row>
    <row r="75" customFormat="false" ht="15" hidden="false" customHeight="false" outlineLevel="0" collapsed="false">
      <c r="A75" s="38" t="s">
        <v>769</v>
      </c>
      <c r="B75" s="44" t="n">
        <v>46542</v>
      </c>
      <c r="C75" s="38" t="s">
        <v>287</v>
      </c>
      <c r="D75" s="38" t="s">
        <v>354</v>
      </c>
      <c r="E75" s="38"/>
      <c r="F75" s="38" t="s">
        <v>613</v>
      </c>
      <c r="G75" s="38" t="s">
        <v>770</v>
      </c>
      <c r="H75" s="38" t="s">
        <v>718</v>
      </c>
      <c r="I75" s="38" t="s">
        <v>596</v>
      </c>
      <c r="J75" s="45" t="n">
        <v>13800</v>
      </c>
      <c r="K75" s="38" t="s">
        <v>615</v>
      </c>
      <c r="L75" s="38" t="s">
        <v>616</v>
      </c>
      <c r="M75" s="38" t="s">
        <v>756</v>
      </c>
      <c r="N75" s="48" t="n">
        <f aca="false">IF(D75="","",IF(INDEX(P1_POA!$B$5:$B$200,MATCH(D75,P1_POA!$A$5:$A$200,0))=C75,0,1))</f>
        <v>0</v>
      </c>
    </row>
    <row r="76" customFormat="false" ht="15" hidden="false" customHeight="false" outlineLevel="0" collapsed="false">
      <c r="A76" s="38" t="s">
        <v>771</v>
      </c>
      <c r="B76" s="44" t="n">
        <v>46542</v>
      </c>
      <c r="C76" s="38" t="s">
        <v>273</v>
      </c>
      <c r="D76" s="38" t="s">
        <v>378</v>
      </c>
      <c r="E76" s="38"/>
      <c r="F76" s="38" t="s">
        <v>555</v>
      </c>
      <c r="G76" s="38" t="s">
        <v>772</v>
      </c>
      <c r="H76" s="38" t="s">
        <v>678</v>
      </c>
      <c r="I76" s="38" t="s">
        <v>597</v>
      </c>
      <c r="J76" s="45" t="n">
        <v>19000</v>
      </c>
      <c r="K76" s="38" t="s">
        <v>615</v>
      </c>
      <c r="L76" s="38" t="s">
        <v>616</v>
      </c>
      <c r="M76" s="38" t="s">
        <v>756</v>
      </c>
      <c r="N76" s="48" t="n">
        <f aca="false">IF(D76="","",IF(INDEX(P1_POA!$B$5:$B$200,MATCH(D76,P1_POA!$A$5:$A$200,0))=C76,0,1))</f>
        <v>0</v>
      </c>
    </row>
    <row r="77" customFormat="false" ht="15" hidden="false" customHeight="false" outlineLevel="0" collapsed="false">
      <c r="A77" s="38" t="s">
        <v>773</v>
      </c>
      <c r="B77" s="44" t="n">
        <v>46542</v>
      </c>
      <c r="C77" s="38" t="s">
        <v>301</v>
      </c>
      <c r="D77" s="38" t="s">
        <v>395</v>
      </c>
      <c r="E77" s="38"/>
      <c r="F77" s="38" t="s">
        <v>613</v>
      </c>
      <c r="G77" s="38" t="s">
        <v>774</v>
      </c>
      <c r="H77" s="38" t="s">
        <v>718</v>
      </c>
      <c r="I77" s="38" t="s">
        <v>596</v>
      </c>
      <c r="J77" s="45" t="n">
        <v>24440</v>
      </c>
      <c r="K77" s="38" t="s">
        <v>615</v>
      </c>
      <c r="L77" s="38" t="s">
        <v>616</v>
      </c>
      <c r="M77" s="38" t="s">
        <v>756</v>
      </c>
      <c r="N77" s="48" t="n">
        <f aca="false">IF(D77="","",IF(INDEX(P1_POA!$B$5:$B$200,MATCH(D77,P1_POA!$A$5:$A$200,0))=C77,0,1))</f>
        <v>0</v>
      </c>
    </row>
    <row r="78" customFormat="false" ht="15" hidden="false" customHeight="false" outlineLevel="0" collapsed="false">
      <c r="A78" s="38" t="s">
        <v>775</v>
      </c>
      <c r="B78" s="44" t="n">
        <v>46542</v>
      </c>
      <c r="C78" s="38" t="s">
        <v>301</v>
      </c>
      <c r="D78" s="38" t="s">
        <v>397</v>
      </c>
      <c r="E78" s="38"/>
      <c r="F78" s="38" t="s">
        <v>613</v>
      </c>
      <c r="G78" s="38" t="s">
        <v>776</v>
      </c>
      <c r="H78" s="38" t="s">
        <v>642</v>
      </c>
      <c r="I78" s="38" t="s">
        <v>597</v>
      </c>
      <c r="J78" s="45" t="n">
        <v>15000</v>
      </c>
      <c r="K78" s="38" t="s">
        <v>615</v>
      </c>
      <c r="L78" s="38" t="s">
        <v>616</v>
      </c>
      <c r="M78" s="38" t="s">
        <v>756</v>
      </c>
      <c r="N78" s="48" t="n">
        <f aca="false">IF(D78="","",IF(INDEX(P1_POA!$B$5:$B$200,MATCH(D78,P1_POA!$A$5:$A$200,0))=C78,0,1))</f>
        <v>0</v>
      </c>
    </row>
    <row r="79" customFormat="false" ht="15" hidden="false" customHeight="false" outlineLevel="0" collapsed="false">
      <c r="A79" s="38" t="s">
        <v>777</v>
      </c>
      <c r="B79" s="44" t="n">
        <v>46545</v>
      </c>
      <c r="C79" s="38" t="s">
        <v>273</v>
      </c>
      <c r="D79" s="38" t="s">
        <v>369</v>
      </c>
      <c r="E79" s="38"/>
      <c r="F79" s="38" t="s">
        <v>563</v>
      </c>
      <c r="G79" s="38" t="s">
        <v>778</v>
      </c>
      <c r="H79" s="38" t="s">
        <v>678</v>
      </c>
      <c r="I79" s="38" t="s">
        <v>596</v>
      </c>
      <c r="J79" s="45" t="n">
        <v>17330</v>
      </c>
      <c r="K79" s="38" t="s">
        <v>615</v>
      </c>
      <c r="L79" s="38" t="s">
        <v>616</v>
      </c>
      <c r="M79" s="38" t="s">
        <v>756</v>
      </c>
      <c r="N79" s="48" t="n">
        <f aca="false">IF(D79="","",IF(INDEX(P1_POA!$B$5:$B$200,MATCH(D79,P1_POA!$A$5:$A$200,0))=C79,0,1))</f>
        <v>0</v>
      </c>
    </row>
    <row r="80" customFormat="false" ht="15" hidden="false" customHeight="false" outlineLevel="0" collapsed="false">
      <c r="A80" s="38" t="s">
        <v>779</v>
      </c>
      <c r="B80" s="44" t="n">
        <v>46549</v>
      </c>
      <c r="C80" s="38" t="s">
        <v>273</v>
      </c>
      <c r="D80" s="38" t="s">
        <v>369</v>
      </c>
      <c r="E80" s="38"/>
      <c r="F80" s="38" t="s">
        <v>565</v>
      </c>
      <c r="G80" s="38" t="s">
        <v>780</v>
      </c>
      <c r="H80" s="38" t="s">
        <v>678</v>
      </c>
      <c r="I80" s="38" t="s">
        <v>596</v>
      </c>
      <c r="J80" s="45" t="n">
        <v>36740</v>
      </c>
      <c r="K80" s="38" t="s">
        <v>615</v>
      </c>
      <c r="L80" s="38" t="s">
        <v>616</v>
      </c>
      <c r="M80" s="38" t="s">
        <v>756</v>
      </c>
      <c r="N80" s="48" t="n">
        <f aca="false">IF(D80="","",IF(INDEX(P1_POA!$B$5:$B$200,MATCH(D80,P1_POA!$A$5:$A$200,0))=C80,0,1))</f>
        <v>0</v>
      </c>
    </row>
    <row r="81" customFormat="false" ht="15" hidden="false" customHeight="false" outlineLevel="0" collapsed="false">
      <c r="A81" s="38" t="s">
        <v>781</v>
      </c>
      <c r="B81" s="44" t="n">
        <v>46549</v>
      </c>
      <c r="C81" s="38" t="s">
        <v>273</v>
      </c>
      <c r="D81" s="38" t="s">
        <v>375</v>
      </c>
      <c r="E81" s="38"/>
      <c r="F81" s="38" t="s">
        <v>553</v>
      </c>
      <c r="G81" s="38" t="s">
        <v>782</v>
      </c>
      <c r="H81" s="38" t="s">
        <v>642</v>
      </c>
      <c r="I81" s="38" t="s">
        <v>597</v>
      </c>
      <c r="J81" s="45" t="n">
        <v>22540</v>
      </c>
      <c r="K81" s="38" t="s">
        <v>615</v>
      </c>
      <c r="L81" s="38" t="s">
        <v>616</v>
      </c>
      <c r="M81" s="38" t="s">
        <v>756</v>
      </c>
      <c r="N81" s="48" t="n">
        <f aca="false">IF(D81="","",IF(INDEX(P1_POA!$B$5:$B$200,MATCH(D81,P1_POA!$A$5:$A$200,0))=C81,0,1))</f>
        <v>0</v>
      </c>
    </row>
    <row r="82" customFormat="false" ht="15" hidden="false" customHeight="false" outlineLevel="0" collapsed="false">
      <c r="A82" s="38" t="s">
        <v>783</v>
      </c>
      <c r="B82" s="44" t="n">
        <v>46549</v>
      </c>
      <c r="C82" s="38" t="s">
        <v>282</v>
      </c>
      <c r="D82" s="38" t="s">
        <v>386</v>
      </c>
      <c r="E82" s="38"/>
      <c r="F82" s="38" t="s">
        <v>565</v>
      </c>
      <c r="G82" s="38" t="s">
        <v>784</v>
      </c>
      <c r="H82" s="38" t="s">
        <v>642</v>
      </c>
      <c r="I82" s="38" t="s">
        <v>596</v>
      </c>
      <c r="J82" s="45" t="n">
        <v>21110</v>
      </c>
      <c r="K82" s="38" t="s">
        <v>615</v>
      </c>
      <c r="L82" s="38" t="s">
        <v>616</v>
      </c>
      <c r="M82" s="38" t="s">
        <v>756</v>
      </c>
      <c r="N82" s="48" t="n">
        <f aca="false">IF(D82="","",IF(INDEX(P1_POA!$B$5:$B$200,MATCH(D82,P1_POA!$A$5:$A$200,0))=C82,0,1))</f>
        <v>0</v>
      </c>
    </row>
    <row r="83" customFormat="false" ht="15" hidden="false" customHeight="false" outlineLevel="0" collapsed="false">
      <c r="A83" s="38" t="s">
        <v>785</v>
      </c>
      <c r="B83" s="44" t="n">
        <v>46549</v>
      </c>
      <c r="C83" s="38" t="s">
        <v>330</v>
      </c>
      <c r="D83" s="38" t="s">
        <v>403</v>
      </c>
      <c r="E83" s="38"/>
      <c r="F83" s="38" t="s">
        <v>613</v>
      </c>
      <c r="G83" s="38" t="s">
        <v>786</v>
      </c>
      <c r="H83" s="38" t="s">
        <v>747</v>
      </c>
      <c r="I83" s="38" t="s">
        <v>596</v>
      </c>
      <c r="J83" s="45" t="n">
        <v>10910</v>
      </c>
      <c r="K83" s="38" t="s">
        <v>615</v>
      </c>
      <c r="L83" s="38" t="s">
        <v>616</v>
      </c>
      <c r="M83" s="38" t="s">
        <v>756</v>
      </c>
      <c r="N83" s="48" t="n">
        <f aca="false">IF(D83="","",IF(INDEX(P1_POA!$B$5:$B$200,MATCH(D83,P1_POA!$A$5:$A$200,0))=C83,0,1))</f>
        <v>0</v>
      </c>
    </row>
    <row r="84" customFormat="false" ht="15" hidden="false" customHeight="false" outlineLevel="0" collapsed="false">
      <c r="A84" s="38" t="s">
        <v>787</v>
      </c>
      <c r="B84" s="44" t="n">
        <v>46553</v>
      </c>
      <c r="C84" s="38" t="s">
        <v>273</v>
      </c>
      <c r="D84" s="38" t="s">
        <v>372</v>
      </c>
      <c r="E84" s="38"/>
      <c r="F84" s="38" t="s">
        <v>559</v>
      </c>
      <c r="G84" s="38" t="s">
        <v>788</v>
      </c>
      <c r="H84" s="38" t="s">
        <v>718</v>
      </c>
      <c r="I84" s="38" t="s">
        <v>596</v>
      </c>
      <c r="J84" s="45" t="n">
        <v>4770</v>
      </c>
      <c r="K84" s="38" t="s">
        <v>615</v>
      </c>
      <c r="L84" s="38" t="s">
        <v>616</v>
      </c>
      <c r="M84" s="38" t="s">
        <v>756</v>
      </c>
      <c r="N84" s="48" t="n">
        <f aca="false">IF(D84="","",IF(INDEX(P1_POA!$B$5:$B$200,MATCH(D84,P1_POA!$A$5:$A$200,0))=C84,0,1))</f>
        <v>0</v>
      </c>
    </row>
    <row r="85" customFormat="false" ht="15" hidden="false" customHeight="false" outlineLevel="0" collapsed="false">
      <c r="A85" s="38" t="s">
        <v>789</v>
      </c>
      <c r="B85" s="44" t="n">
        <v>46555</v>
      </c>
      <c r="C85" s="38" t="s">
        <v>273</v>
      </c>
      <c r="D85" s="38" t="s">
        <v>369</v>
      </c>
      <c r="E85" s="38"/>
      <c r="F85" s="38" t="s">
        <v>567</v>
      </c>
      <c r="G85" s="38" t="s">
        <v>790</v>
      </c>
      <c r="H85" s="38" t="s">
        <v>678</v>
      </c>
      <c r="I85" s="38" t="s">
        <v>596</v>
      </c>
      <c r="J85" s="45" t="n">
        <v>26620</v>
      </c>
      <c r="K85" s="38" t="s">
        <v>615</v>
      </c>
      <c r="L85" s="38" t="s">
        <v>616</v>
      </c>
      <c r="M85" s="38" t="s">
        <v>756</v>
      </c>
      <c r="N85" s="48" t="n">
        <f aca="false">IF(D85="","",IF(INDEX(P1_POA!$B$5:$B$200,MATCH(D85,P1_POA!$A$5:$A$200,0))=C85,0,1))</f>
        <v>0</v>
      </c>
    </row>
    <row r="86" customFormat="false" ht="15" hidden="false" customHeight="false" outlineLevel="0" collapsed="false">
      <c r="A86" s="38" t="s">
        <v>791</v>
      </c>
      <c r="B86" s="44" t="n">
        <v>46556</v>
      </c>
      <c r="C86" s="38" t="s">
        <v>287</v>
      </c>
      <c r="D86" s="38" t="s">
        <v>360</v>
      </c>
      <c r="E86" s="38"/>
      <c r="F86" s="38" t="s">
        <v>551</v>
      </c>
      <c r="G86" s="38" t="s">
        <v>792</v>
      </c>
      <c r="H86" s="38" t="s">
        <v>642</v>
      </c>
      <c r="I86" s="38" t="s">
        <v>597</v>
      </c>
      <c r="J86" s="45" t="n">
        <v>14000</v>
      </c>
      <c r="K86" s="38" t="s">
        <v>615</v>
      </c>
      <c r="L86" s="38" t="s">
        <v>616</v>
      </c>
      <c r="M86" s="38" t="s">
        <v>756</v>
      </c>
      <c r="N86" s="48" t="n">
        <f aca="false">IF(D86="","",IF(INDEX(P1_POA!$B$5:$B$200,MATCH(D86,P1_POA!$A$5:$A$200,0))=C86,0,1))</f>
        <v>0</v>
      </c>
    </row>
    <row r="87" customFormat="false" ht="15" hidden="false" customHeight="false" outlineLevel="0" collapsed="false">
      <c r="A87" s="38" t="s">
        <v>793</v>
      </c>
      <c r="B87" s="44" t="n">
        <v>46556</v>
      </c>
      <c r="C87" s="38" t="s">
        <v>330</v>
      </c>
      <c r="D87" s="38" t="s">
        <v>403</v>
      </c>
      <c r="E87" s="38"/>
      <c r="F87" s="38" t="s">
        <v>613</v>
      </c>
      <c r="G87" s="38" t="s">
        <v>794</v>
      </c>
      <c r="H87" s="38" t="s">
        <v>747</v>
      </c>
      <c r="I87" s="38" t="s">
        <v>596</v>
      </c>
      <c r="J87" s="45" t="n">
        <v>19090</v>
      </c>
      <c r="K87" s="38" t="s">
        <v>615</v>
      </c>
      <c r="L87" s="38" t="s">
        <v>616</v>
      </c>
      <c r="M87" s="38" t="s">
        <v>756</v>
      </c>
      <c r="N87" s="48" t="n">
        <f aca="false">IF(D87="","",IF(INDEX(P1_POA!$B$5:$B$200,MATCH(D87,P1_POA!$A$5:$A$200,0))=C87,0,1))</f>
        <v>0</v>
      </c>
    </row>
    <row r="88" customFormat="false" ht="15" hidden="false" customHeight="false" outlineLevel="0" collapsed="false">
      <c r="A88" s="38" t="s">
        <v>795</v>
      </c>
      <c r="B88" s="44" t="n">
        <v>46560</v>
      </c>
      <c r="C88" s="38" t="s">
        <v>273</v>
      </c>
      <c r="D88" s="38" t="s">
        <v>369</v>
      </c>
      <c r="E88" s="38"/>
      <c r="F88" s="38" t="s">
        <v>569</v>
      </c>
      <c r="G88" s="38" t="s">
        <v>796</v>
      </c>
      <c r="H88" s="38" t="s">
        <v>678</v>
      </c>
      <c r="I88" s="38" t="s">
        <v>596</v>
      </c>
      <c r="J88" s="45" t="n">
        <v>25810</v>
      </c>
      <c r="K88" s="38" t="s">
        <v>615</v>
      </c>
      <c r="L88" s="38" t="s">
        <v>616</v>
      </c>
      <c r="M88" s="38" t="s">
        <v>756</v>
      </c>
      <c r="N88" s="48" t="n">
        <f aca="false">IF(D88="","",IF(INDEX(P1_POA!$B$5:$B$200,MATCH(D88,P1_POA!$A$5:$A$200,0))=C88,0,1))</f>
        <v>0</v>
      </c>
    </row>
  </sheetData>
  <autoFilter ref="A4:N88"/>
  <dataValidations count="7">
    <dataValidation allowBlank="true" error="Valor no válido" errorStyle="stop" errorTitle="Seleccione un valor de la lista" operator="between" showDropDown="false" showErrorMessage="false" showInputMessage="false" sqref="C5:C500" type="list">
      <formula1>Listas!$A$5:$A$9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F5:F500" type="list">
      <formula1>Listas!$G$5:$G$19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H5:H500" type="list">
      <formula1>Listas!$C$5:$C$10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I5:I500" type="list">
      <formula1>Listas!$B$5:$B$6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K5:K500" type="list">
      <formula1>Listas!$E$5:$E$6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L5:L500" type="list">
      <formula1>Listas!$D$5:$D$7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M5:M500" type="list">
      <formula1>Listas!$F$5:$F$7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3"/>
    <col collapsed="false" customWidth="true" hidden="false" outlineLevel="0" max="11" min="11" style="0" width="52"/>
    <col collapsed="false" customWidth="true" hidden="false" outlineLevel="0" max="12" min="12" style="0" width="46"/>
  </cols>
  <sheetData>
    <row r="1" customFormat="false" ht="24" hidden="false" customHeight="true" outlineLevel="0" collapsed="false">
      <c r="A1" s="1" t="s">
        <v>797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798</v>
      </c>
    </row>
    <row r="4" customFormat="false" ht="33.75" hidden="false" customHeight="true" outlineLevel="0" collapsed="false">
      <c r="A4" s="14" t="s">
        <v>799</v>
      </c>
      <c r="B4" s="14" t="s">
        <v>800</v>
      </c>
      <c r="C4" s="14" t="s">
        <v>608</v>
      </c>
      <c r="D4" s="14" t="s">
        <v>591</v>
      </c>
      <c r="E4" s="14" t="s">
        <v>801</v>
      </c>
      <c r="F4" s="14" t="s">
        <v>233</v>
      </c>
      <c r="G4" s="14" t="s">
        <v>802</v>
      </c>
      <c r="H4" s="14" t="s">
        <v>803</v>
      </c>
      <c r="I4" s="14" t="s">
        <v>804</v>
      </c>
      <c r="K4" s="9" t="s">
        <v>805</v>
      </c>
      <c r="L4" s="9" t="s">
        <v>93</v>
      </c>
    </row>
    <row r="5" customFormat="false" ht="15" hidden="false" customHeight="false" outlineLevel="0" collapsed="false">
      <c r="A5" s="38" t="s">
        <v>806</v>
      </c>
      <c r="B5" s="44" t="n">
        <v>46415</v>
      </c>
      <c r="C5" s="38" t="s">
        <v>616</v>
      </c>
      <c r="D5" s="38" t="s">
        <v>596</v>
      </c>
      <c r="E5" s="45" t="n">
        <v>2400000</v>
      </c>
      <c r="F5" s="38" t="s">
        <v>807</v>
      </c>
      <c r="G5" s="44" t="n">
        <v>46428</v>
      </c>
      <c r="H5" s="45" t="n">
        <v>2400000</v>
      </c>
      <c r="I5" s="48" t="n">
        <f aca="false">IF(G5&lt;&gt;"",G5-B5,IF(AND(B5&lt;&gt;"",F5="Solicitado"),Fecha_Corte-B5,""))</f>
        <v>13</v>
      </c>
      <c r="K5" s="59" t="s">
        <v>808</v>
      </c>
      <c r="L5" s="62" t="n">
        <f aca="false">SUMIFS($H$5:$H$500,$C$5:$C$500,"Anticipo de fondos",$F$5:$F$500,"Desembolsado")</f>
        <v>2400000</v>
      </c>
    </row>
    <row r="6" customFormat="false" ht="15" hidden="false" customHeight="false" outlineLevel="0" collapsed="false">
      <c r="A6" s="38" t="s">
        <v>809</v>
      </c>
      <c r="B6" s="44" t="n">
        <v>46460</v>
      </c>
      <c r="C6" s="38" t="s">
        <v>656</v>
      </c>
      <c r="D6" s="38" t="s">
        <v>596</v>
      </c>
      <c r="E6" s="45" t="n">
        <v>149100</v>
      </c>
      <c r="F6" s="38" t="s">
        <v>807</v>
      </c>
      <c r="G6" s="44" t="n">
        <v>46469</v>
      </c>
      <c r="H6" s="45" t="n">
        <v>149100</v>
      </c>
      <c r="I6" s="48" t="n">
        <f aca="false">IF(G6&lt;&gt;"",G6-B6,IF(AND(B6&lt;&gt;"",F6="Solicitado"),Fecha_Corte-B6,""))</f>
        <v>9</v>
      </c>
      <c r="K6" s="59" t="s">
        <v>810</v>
      </c>
      <c r="L6" s="62" t="n">
        <f aca="false">SUMIFS(F2_Ejecucion!$J$5:$J$500,F2_Ejecucion!$L$5:$L$500,"Anticipo de fondos",F2_Ejecucion!$K$5:$K$500,"Pagado")</f>
        <v>2131900</v>
      </c>
    </row>
    <row r="7" customFormat="false" ht="15" hidden="false" customHeight="false" outlineLevel="0" collapsed="false">
      <c r="A7" s="38" t="s">
        <v>811</v>
      </c>
      <c r="B7" s="44" t="n">
        <v>46470</v>
      </c>
      <c r="C7" s="38" t="s">
        <v>656</v>
      </c>
      <c r="D7" s="38" t="s">
        <v>596</v>
      </c>
      <c r="E7" s="45" t="n">
        <v>142500</v>
      </c>
      <c r="F7" s="38" t="s">
        <v>807</v>
      </c>
      <c r="G7" s="44" t="n">
        <v>46479</v>
      </c>
      <c r="H7" s="45" t="n">
        <v>142500</v>
      </c>
      <c r="I7" s="48" t="n">
        <f aca="false">IF(G7&lt;&gt;"",G7-B7,IF(AND(B7&lt;&gt;"",F7="Solicitado"),Fecha_Corte-B7,""))</f>
        <v>9</v>
      </c>
      <c r="K7" s="59" t="s">
        <v>812</v>
      </c>
      <c r="L7" s="62" t="n">
        <f aca="false">SUMIFS(F2_Ejecucion!$J$5:$J$500,F2_Ejecucion!$M$5:$M$500,"Sí")</f>
        <v>1675750</v>
      </c>
    </row>
    <row r="8" customFormat="false" ht="15" hidden="false" customHeight="false" outlineLevel="0" collapsed="false">
      <c r="A8" s="38" t="s">
        <v>813</v>
      </c>
      <c r="B8" s="44" t="n">
        <v>46470</v>
      </c>
      <c r="C8" s="38" t="s">
        <v>656</v>
      </c>
      <c r="D8" s="38" t="s">
        <v>596</v>
      </c>
      <c r="E8" s="45" t="n">
        <v>304850</v>
      </c>
      <c r="F8" s="38" t="s">
        <v>807</v>
      </c>
      <c r="G8" s="44" t="n">
        <v>46479</v>
      </c>
      <c r="H8" s="45" t="n">
        <v>304850</v>
      </c>
      <c r="I8" s="48" t="n">
        <f aca="false">IF(G8&lt;&gt;"",G8-B8,IF(AND(B8&lt;&gt;"",F8="Solicitado"),Fecha_Corte-B8,""))</f>
        <v>9</v>
      </c>
      <c r="K8" s="59" t="s">
        <v>814</v>
      </c>
      <c r="L8" s="63" t="n">
        <f aca="false">IF(L5=0,"n/a",L7/L5)</f>
        <v>0.698229166666667</v>
      </c>
    </row>
    <row r="9" customFormat="false" ht="15" hidden="false" customHeight="false" outlineLevel="0" collapsed="false">
      <c r="A9" s="38" t="s">
        <v>815</v>
      </c>
      <c r="B9" s="44"/>
      <c r="C9" s="38" t="s">
        <v>616</v>
      </c>
      <c r="D9" s="38" t="s">
        <v>596</v>
      </c>
      <c r="E9" s="45" t="n">
        <v>1800000</v>
      </c>
      <c r="F9" s="38" t="s">
        <v>816</v>
      </c>
      <c r="G9" s="44"/>
      <c r="H9" s="45"/>
      <c r="I9" s="48" t="str">
        <f aca="false">IF(G9&lt;&gt;"",G9-B9,IF(AND(B9&lt;&gt;"",F9="Solicitado"),Fecha_Corte-B9,""))</f>
        <v/>
      </c>
      <c r="K9" s="59" t="s">
        <v>817</v>
      </c>
      <c r="L9" s="62" t="n">
        <f aca="false">L5-L7</f>
        <v>724250</v>
      </c>
    </row>
    <row r="10" customFormat="false" ht="15" hidden="false" customHeight="false" outlineLevel="0" collapsed="false">
      <c r="K10" s="59" t="s">
        <v>818</v>
      </c>
      <c r="L10" s="62" t="n">
        <f aca="false">L5-L6</f>
        <v>268100</v>
      </c>
    </row>
    <row r="11" customFormat="false" ht="15" hidden="false" customHeight="false" outlineLevel="0" collapsed="false">
      <c r="K11" s="59" t="s">
        <v>819</v>
      </c>
      <c r="L11" s="62" t="n">
        <f aca="false">SUMIFS($H$5:$H$500,$C$5:$C$500,"Pago directo",$F$5:$F$500,"Desembolsado")</f>
        <v>596450</v>
      </c>
    </row>
    <row r="12" customFormat="false" ht="15" hidden="false" customHeight="false" outlineLevel="0" collapsed="false">
      <c r="K12" s="59" t="s">
        <v>820</v>
      </c>
      <c r="L12" s="62" t="n">
        <f aca="false">SUMIFS(F2_Ejecucion!$J$5:$J$500,F2_Ejecucion!$L$5:$L$500,"Pago directo",F2_Ejecucion!$K$5:$K$500,"Pagado")</f>
        <v>596450</v>
      </c>
    </row>
    <row r="13" customFormat="false" ht="15" hidden="false" customHeight="false" outlineLevel="0" collapsed="false">
      <c r="K13" s="59" t="s">
        <v>103</v>
      </c>
      <c r="L13" s="62" t="n">
        <f aca="false">L5+L11</f>
        <v>2996450</v>
      </c>
    </row>
    <row r="14" customFormat="false" ht="15" hidden="false" customHeight="false" outlineLevel="0" collapsed="false">
      <c r="K14" s="59" t="s">
        <v>821</v>
      </c>
      <c r="L14" s="63" t="n">
        <f aca="false">L13/Total_Programa</f>
        <v>0.0288120192307692</v>
      </c>
    </row>
    <row r="15" customFormat="false" ht="48" hidden="false" customHeight="true" outlineLevel="0" collapsed="false">
      <c r="K15" s="59" t="s">
        <v>822</v>
      </c>
      <c r="L15" s="64" t="str">
        <f aca="false">IF(L8="n/a","",IF(L8&gt;=Pct_Justif_Min,"Puede solicitar nuevo anticipo","NO solicitar: justificar al "&amp;ROUND(Pct_Justif_Min*100,0)&amp;"% (faltan US$ "&amp;ROUND(Pct_Justif_Min*L5-L7,0)&amp;")"))</f>
        <v>NO solicitar: justificar al 80% (faltan US$ 244250)</v>
      </c>
    </row>
    <row r="17" customFormat="false" ht="15" hidden="false" customHeight="false" outlineLevel="0" collapsed="false">
      <c r="K17" s="55" t="s">
        <v>823</v>
      </c>
    </row>
  </sheetData>
  <autoFilter ref="A4:I9"/>
  <dataValidations count="3">
    <dataValidation allowBlank="true" error="Valor no válido" errorStyle="stop" errorTitle="Seleccione un valor de la lista" operator="between" showDropDown="false" showErrorMessage="false" showInputMessage="false" sqref="C5:C500" type="list">
      <formula1>Listas!$D$5:$D$7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D5:D500" type="list">
      <formula1>Listas!$B$5:$B$6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F5:F500" type="list">
      <formula1>"En preparación,Solicitado,Desembolsado"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</cols>
  <sheetData>
    <row r="1" customFormat="false" ht="24" hidden="false" customHeight="true" outlineLevel="0" collapsed="false">
      <c r="A1" s="1" t="s">
        <v>824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825</v>
      </c>
    </row>
    <row r="4" customFormat="false" ht="33.75" hidden="false" customHeight="true" outlineLevel="0" collapsed="false">
      <c r="A4" s="14" t="s">
        <v>826</v>
      </c>
      <c r="B4" s="14" t="s">
        <v>335</v>
      </c>
      <c r="C4" s="14" t="s">
        <v>336</v>
      </c>
      <c r="D4" s="14" t="s">
        <v>827</v>
      </c>
      <c r="E4" s="14" t="s">
        <v>828</v>
      </c>
      <c r="F4" s="14" t="s">
        <v>829</v>
      </c>
      <c r="G4" s="14" t="s">
        <v>830</v>
      </c>
      <c r="H4" s="14" t="s">
        <v>831</v>
      </c>
      <c r="I4" s="14" t="s">
        <v>832</v>
      </c>
    </row>
    <row r="5" customFormat="false" ht="15" hidden="false" customHeight="false" outlineLevel="0" collapsed="false">
      <c r="A5" s="15" t="s">
        <v>833</v>
      </c>
      <c r="B5" s="65" t="n">
        <v>46388</v>
      </c>
      <c r="C5" s="65" t="n">
        <v>46477</v>
      </c>
      <c r="D5" s="45" t="n">
        <v>780000</v>
      </c>
      <c r="E5" s="46" t="n">
        <f aca="false">SUMIFS(F2_Ejecucion!$J$5:$J$500,F2_Ejecucion!$B$5:$B$500,"&gt;="&amp;B5,F2_Ejecucion!$B$5:$B$500,"&lt;="&amp;C5)</f>
        <v>574950</v>
      </c>
      <c r="F5" s="46" t="n">
        <f aca="false">SUM($D$5:D5)</f>
        <v>780000</v>
      </c>
      <c r="G5" s="46" t="n">
        <f aca="false">IF(B5&gt;Fecha_Corte,"",SUM($E$5:E5))</f>
        <v>574950</v>
      </c>
      <c r="H5" s="46" t="n">
        <f aca="false">IF(G5="","",G5-F5)</f>
        <v>-205050</v>
      </c>
      <c r="I5" s="41" t="n">
        <f aca="false">IF(G5="","",G5/F5)</f>
        <v>0.737115384615385</v>
      </c>
    </row>
    <row r="6" customFormat="false" ht="15" hidden="false" customHeight="false" outlineLevel="0" collapsed="false">
      <c r="A6" s="15" t="s">
        <v>834</v>
      </c>
      <c r="B6" s="65" t="n">
        <v>46478</v>
      </c>
      <c r="C6" s="65" t="n">
        <v>46568</v>
      </c>
      <c r="D6" s="45" t="n">
        <v>1950000</v>
      </c>
      <c r="E6" s="46" t="n">
        <f aca="false">SUMIFS(F2_Ejecucion!$J$5:$J$500,F2_Ejecucion!$B$5:$B$500,"&gt;="&amp;B6,F2_Ejecucion!$B$5:$B$500,"&lt;="&amp;C6)</f>
        <v>2153400</v>
      </c>
      <c r="F6" s="46" t="n">
        <f aca="false">SUM($D$5:D6)</f>
        <v>2730000</v>
      </c>
      <c r="G6" s="46" t="n">
        <f aca="false">IF(B6&gt;Fecha_Corte,"",SUM($E$5:E6))</f>
        <v>2728350</v>
      </c>
      <c r="H6" s="46" t="n">
        <f aca="false">IF(G6="","",G6-F6)</f>
        <v>-1650</v>
      </c>
      <c r="I6" s="41" t="n">
        <f aca="false">IF(G6="","",G6/F6)</f>
        <v>0.999395604395604</v>
      </c>
    </row>
    <row r="7" customFormat="false" ht="15" hidden="false" customHeight="false" outlineLevel="0" collapsed="false">
      <c r="A7" s="15" t="s">
        <v>835</v>
      </c>
      <c r="B7" s="65" t="n">
        <v>46569</v>
      </c>
      <c r="C7" s="65" t="n">
        <v>46660</v>
      </c>
      <c r="D7" s="45" t="n">
        <v>1820000</v>
      </c>
      <c r="E7" s="46" t="n">
        <f aca="false">SUMIFS(F2_Ejecucion!$J$5:$J$500,F2_Ejecucion!$B$5:$B$500,"&gt;="&amp;B7,F2_Ejecucion!$B$5:$B$500,"&lt;="&amp;C7)</f>
        <v>0</v>
      </c>
      <c r="F7" s="46" t="n">
        <f aca="false">SUM($D$5:D7)</f>
        <v>4550000</v>
      </c>
      <c r="G7" s="46" t="str">
        <f aca="false">IF(B7&gt;Fecha_Corte,"",SUM($E$5:E7))</f>
        <v/>
      </c>
      <c r="H7" s="46" t="str">
        <f aca="false">IF(G7="","",G7-F7)</f>
        <v/>
      </c>
      <c r="I7" s="41" t="str">
        <f aca="false">IF(G7="","",G7/F7)</f>
        <v/>
      </c>
    </row>
    <row r="8" customFormat="false" ht="15" hidden="false" customHeight="false" outlineLevel="0" collapsed="false">
      <c r="A8" s="15" t="s">
        <v>836</v>
      </c>
      <c r="B8" s="65" t="n">
        <v>46661</v>
      </c>
      <c r="C8" s="65" t="n">
        <v>46752</v>
      </c>
      <c r="D8" s="45" t="n">
        <v>1950000</v>
      </c>
      <c r="E8" s="46" t="n">
        <f aca="false">SUMIFS(F2_Ejecucion!$J$5:$J$500,F2_Ejecucion!$B$5:$B$500,"&gt;="&amp;B8,F2_Ejecucion!$B$5:$B$500,"&lt;="&amp;C8)</f>
        <v>0</v>
      </c>
      <c r="F8" s="46" t="n">
        <f aca="false">SUM($D$5:D8)</f>
        <v>6500000</v>
      </c>
      <c r="G8" s="46" t="str">
        <f aca="false">IF(B8&gt;Fecha_Corte,"",SUM($E$5:E8))</f>
        <v/>
      </c>
      <c r="H8" s="46" t="str">
        <f aca="false">IF(G8="","",G8-F8)</f>
        <v/>
      </c>
      <c r="I8" s="41" t="str">
        <f aca="false">IF(G8="","",G8/F8)</f>
        <v/>
      </c>
    </row>
    <row r="9" customFormat="false" ht="15" hidden="false" customHeight="false" outlineLevel="0" collapsed="false">
      <c r="A9" s="15" t="s">
        <v>837</v>
      </c>
      <c r="B9" s="65" t="n">
        <v>46753</v>
      </c>
      <c r="C9" s="65" t="n">
        <v>46843</v>
      </c>
      <c r="D9" s="45" t="n">
        <v>4720000</v>
      </c>
      <c r="E9" s="46" t="n">
        <f aca="false">SUMIFS(F2_Ejecucion!$J$5:$J$500,F2_Ejecucion!$B$5:$B$500,"&gt;="&amp;B9,F2_Ejecucion!$B$5:$B$500,"&lt;="&amp;C9)</f>
        <v>0</v>
      </c>
      <c r="F9" s="46" t="n">
        <f aca="false">SUM($D$5:D9)</f>
        <v>11220000</v>
      </c>
      <c r="G9" s="46" t="str">
        <f aca="false">IF(B9&gt;Fecha_Corte,"",SUM($E$5:E9))</f>
        <v/>
      </c>
      <c r="H9" s="46" t="str">
        <f aca="false">IF(G9="","",G9-F9)</f>
        <v/>
      </c>
      <c r="I9" s="41" t="str">
        <f aca="false">IF(G9="","",G9/F9)</f>
        <v/>
      </c>
    </row>
    <row r="10" customFormat="false" ht="15" hidden="false" customHeight="false" outlineLevel="0" collapsed="false">
      <c r="A10" s="15" t="s">
        <v>838</v>
      </c>
      <c r="B10" s="65" t="n">
        <v>46844</v>
      </c>
      <c r="C10" s="65" t="n">
        <v>46934</v>
      </c>
      <c r="D10" s="45" t="n">
        <v>5360000</v>
      </c>
      <c r="E10" s="46" t="n">
        <f aca="false">SUMIFS(F2_Ejecucion!$J$5:$J$500,F2_Ejecucion!$B$5:$B$500,"&gt;="&amp;B10,F2_Ejecucion!$B$5:$B$500,"&lt;="&amp;C10)</f>
        <v>0</v>
      </c>
      <c r="F10" s="46" t="n">
        <f aca="false">SUM($D$5:D10)</f>
        <v>16580000</v>
      </c>
      <c r="G10" s="46" t="str">
        <f aca="false">IF(B10&gt;Fecha_Corte,"",SUM($E$5:E10))</f>
        <v/>
      </c>
      <c r="H10" s="46" t="str">
        <f aca="false">IF(G10="","",G10-F10)</f>
        <v/>
      </c>
      <c r="I10" s="41" t="str">
        <f aca="false">IF(G10="","",G10/F10)</f>
        <v/>
      </c>
    </row>
    <row r="11" customFormat="false" ht="15" hidden="false" customHeight="false" outlineLevel="0" collapsed="false">
      <c r="A11" s="15" t="s">
        <v>839</v>
      </c>
      <c r="B11" s="65" t="n">
        <v>46935</v>
      </c>
      <c r="C11" s="65" t="n">
        <v>47026</v>
      </c>
      <c r="D11" s="45" t="n">
        <v>5570000</v>
      </c>
      <c r="E11" s="46" t="n">
        <f aca="false">SUMIFS(F2_Ejecucion!$J$5:$J$500,F2_Ejecucion!$B$5:$B$500,"&gt;="&amp;B11,F2_Ejecucion!$B$5:$B$500,"&lt;="&amp;C11)</f>
        <v>0</v>
      </c>
      <c r="F11" s="46" t="n">
        <f aca="false">SUM($D$5:D11)</f>
        <v>22150000</v>
      </c>
      <c r="G11" s="46" t="str">
        <f aca="false">IF(B11&gt;Fecha_Corte,"",SUM($E$5:E11))</f>
        <v/>
      </c>
      <c r="H11" s="46" t="str">
        <f aca="false">IF(G11="","",G11-F11)</f>
        <v/>
      </c>
      <c r="I11" s="41" t="str">
        <f aca="false">IF(G11="","",G11/F11)</f>
        <v/>
      </c>
    </row>
    <row r="12" customFormat="false" ht="15" hidden="false" customHeight="false" outlineLevel="0" collapsed="false">
      <c r="A12" s="15" t="s">
        <v>840</v>
      </c>
      <c r="B12" s="65" t="n">
        <v>47027</v>
      </c>
      <c r="C12" s="65" t="n">
        <v>47118</v>
      </c>
      <c r="D12" s="45" t="n">
        <v>5790000</v>
      </c>
      <c r="E12" s="46" t="n">
        <f aca="false">SUMIFS(F2_Ejecucion!$J$5:$J$500,F2_Ejecucion!$B$5:$B$500,"&gt;="&amp;B12,F2_Ejecucion!$B$5:$B$500,"&lt;="&amp;C12)</f>
        <v>0</v>
      </c>
      <c r="F12" s="46" t="n">
        <f aca="false">SUM($D$5:D12)</f>
        <v>27940000</v>
      </c>
      <c r="G12" s="46" t="str">
        <f aca="false">IF(B12&gt;Fecha_Corte,"",SUM($E$5:E12))</f>
        <v/>
      </c>
      <c r="H12" s="46" t="str">
        <f aca="false">IF(G12="","",G12-F12)</f>
        <v/>
      </c>
      <c r="I12" s="41" t="str">
        <f aca="false">IF(G12="","",G12/F12)</f>
        <v/>
      </c>
    </row>
    <row r="14" customFormat="false" ht="15" hidden="false" customHeight="false" outlineLevel="0" collapsed="false">
      <c r="A14" s="55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3" min="10" style="0" width="13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4"/>
  </cols>
  <sheetData>
    <row r="1" customFormat="false" ht="24" hidden="false" customHeight="true" outlineLevel="0" collapsed="false">
      <c r="A1" s="1" t="s">
        <v>842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843</v>
      </c>
    </row>
    <row r="4" customFormat="false" ht="43.5" hidden="false" customHeight="true" outlineLevel="0" collapsed="false">
      <c r="A4" s="14" t="s">
        <v>844</v>
      </c>
      <c r="B4" s="14" t="s">
        <v>256</v>
      </c>
      <c r="C4" s="14" t="s">
        <v>603</v>
      </c>
      <c r="D4" s="14" t="s">
        <v>845</v>
      </c>
      <c r="E4" s="14" t="s">
        <v>440</v>
      </c>
      <c r="F4" s="14" t="s">
        <v>846</v>
      </c>
      <c r="G4" s="14" t="s">
        <v>847</v>
      </c>
      <c r="H4" s="14" t="s">
        <v>848</v>
      </c>
      <c r="I4" s="14" t="s">
        <v>849</v>
      </c>
      <c r="J4" s="14" t="s">
        <v>850</v>
      </c>
      <c r="K4" s="14" t="s">
        <v>851</v>
      </c>
      <c r="L4" s="14" t="s">
        <v>852</v>
      </c>
      <c r="M4" s="14" t="s">
        <v>853</v>
      </c>
      <c r="N4" s="14" t="s">
        <v>854</v>
      </c>
      <c r="O4" s="14" t="s">
        <v>855</v>
      </c>
      <c r="P4" s="14" t="s">
        <v>856</v>
      </c>
    </row>
    <row r="5" customFormat="false" ht="15" hidden="false" customHeight="false" outlineLevel="0" collapsed="false">
      <c r="A5" s="38" t="s">
        <v>857</v>
      </c>
      <c r="B5" s="38" t="s">
        <v>287</v>
      </c>
      <c r="C5" s="38" t="s">
        <v>348</v>
      </c>
      <c r="D5" s="39" t="s">
        <v>858</v>
      </c>
      <c r="E5" s="38" t="s">
        <v>859</v>
      </c>
      <c r="F5" s="38" t="s">
        <v>860</v>
      </c>
      <c r="G5" s="38" t="s">
        <v>861</v>
      </c>
      <c r="H5" s="45" t="n">
        <v>125000</v>
      </c>
      <c r="I5" s="38" t="s">
        <v>862</v>
      </c>
      <c r="J5" s="44" t="n">
        <v>46419</v>
      </c>
      <c r="K5" s="44" t="n">
        <v>46420</v>
      </c>
      <c r="L5" s="44" t="n">
        <v>46456</v>
      </c>
      <c r="M5" s="44" t="n">
        <v>46455</v>
      </c>
      <c r="N5" s="48" t="n">
        <f aca="false">IF(M5&lt;&gt;"",M5-L5,IF(L5&lt;&gt;"",MAX(0,Fecha_Corte-L5),""))</f>
        <v>-1</v>
      </c>
      <c r="O5" s="46" t="n">
        <f aca="false">SUMIFS(F5_Contratos!$G$5:$G$200,F5_Contratos!$B$5:$B$200,A5)</f>
        <v>118000</v>
      </c>
      <c r="P5" s="17" t="str">
        <f aca="false">IF(OR(I5="Contratado",I5="Cerrado"),IF(N5&gt;0,"Contratado con atraso","Contratado a tiempo"),IF(AND(K5="",J5&lt;&gt;"",Fecha_Corte&gt;J5),"Atrasado",IF(L5="","Sin fecha prevista",IF(Fecha_Corte&gt;L5,"Atrasado",IF(L5-Fecha_Corte&lt;=Dias_Alerta,"Próximo a vencer","En plazo")))))</f>
        <v>Contratado a tiempo</v>
      </c>
    </row>
    <row r="6" customFormat="false" ht="15" hidden="false" customHeight="false" outlineLevel="0" collapsed="false">
      <c r="A6" s="38" t="s">
        <v>863</v>
      </c>
      <c r="B6" s="38" t="s">
        <v>287</v>
      </c>
      <c r="C6" s="38" t="s">
        <v>357</v>
      </c>
      <c r="D6" s="39" t="s">
        <v>358</v>
      </c>
      <c r="E6" s="38" t="s">
        <v>642</v>
      </c>
      <c r="F6" s="38" t="s">
        <v>864</v>
      </c>
      <c r="G6" s="38" t="s">
        <v>861</v>
      </c>
      <c r="H6" s="45" t="n">
        <v>260000</v>
      </c>
      <c r="I6" s="38" t="s">
        <v>862</v>
      </c>
      <c r="J6" s="44" t="n">
        <v>46433</v>
      </c>
      <c r="K6" s="44" t="n">
        <v>46438</v>
      </c>
      <c r="L6" s="44" t="n">
        <v>46492</v>
      </c>
      <c r="M6" s="44" t="n">
        <v>46503</v>
      </c>
      <c r="N6" s="48" t="n">
        <f aca="false">IF(M6&lt;&gt;"",M6-L6,IF(L6&lt;&gt;"",MAX(0,Fecha_Corte-L6),""))</f>
        <v>11</v>
      </c>
      <c r="O6" s="46" t="n">
        <f aca="false">SUMIFS(F5_Contratos!$G$5:$G$200,F5_Contratos!$B$5:$B$200,A6)</f>
        <v>248500</v>
      </c>
      <c r="P6" s="17" t="str">
        <f aca="false">IF(OR(I6="Contratado",I6="Cerrado"),IF(N6&gt;0,"Contratado con atraso","Contratado a tiempo"),IF(AND(K6="",J6&lt;&gt;"",Fecha_Corte&gt;J6),"Atrasado",IF(L6="","Sin fecha prevista",IF(Fecha_Corte&gt;L6,"Atrasado",IF(L6-Fecha_Corte&lt;=Dias_Alerta,"Próximo a vencer","En plazo")))))</f>
        <v>Contratado con atraso</v>
      </c>
    </row>
    <row r="7" customFormat="false" ht="15" hidden="false" customHeight="false" outlineLevel="0" collapsed="false">
      <c r="A7" s="38" t="s">
        <v>865</v>
      </c>
      <c r="B7" s="38" t="s">
        <v>287</v>
      </c>
      <c r="C7" s="38" t="s">
        <v>354</v>
      </c>
      <c r="D7" s="39" t="s">
        <v>355</v>
      </c>
      <c r="E7" s="38" t="s">
        <v>642</v>
      </c>
      <c r="F7" s="38" t="s">
        <v>866</v>
      </c>
      <c r="G7" s="38" t="s">
        <v>867</v>
      </c>
      <c r="H7" s="45" t="n">
        <v>300000</v>
      </c>
      <c r="I7" s="38" t="s">
        <v>862</v>
      </c>
      <c r="J7" s="44" t="n">
        <v>46447</v>
      </c>
      <c r="K7" s="44" t="n">
        <v>46449</v>
      </c>
      <c r="L7" s="44" t="n">
        <v>46497</v>
      </c>
      <c r="M7" s="44" t="n">
        <v>46499</v>
      </c>
      <c r="N7" s="48" t="n">
        <f aca="false">IF(M7&lt;&gt;"",M7-L7,IF(L7&lt;&gt;"",MAX(0,Fecha_Corte-L7),""))</f>
        <v>2</v>
      </c>
      <c r="O7" s="46" t="n">
        <f aca="false">SUMIFS(F5_Contratos!$G$5:$G$200,F5_Contratos!$B$5:$B$200,A7)</f>
        <v>285000</v>
      </c>
      <c r="P7" s="17" t="str">
        <f aca="false">IF(OR(I7="Contratado",I7="Cerrado"),IF(N7&gt;0,"Contratado con atraso","Contratado a tiempo"),IF(AND(K7="",J7&lt;&gt;"",Fecha_Corte&gt;J7),"Atrasado",IF(L7="","Sin fecha prevista",IF(Fecha_Corte&gt;L7,"Atrasado",IF(L7-Fecha_Corte&lt;=Dias_Alerta,"Próximo a vencer","En plazo")))))</f>
        <v>Contratado con atraso</v>
      </c>
    </row>
    <row r="8" customFormat="false" ht="15" hidden="false" customHeight="false" outlineLevel="0" collapsed="false">
      <c r="A8" s="38" t="s">
        <v>868</v>
      </c>
      <c r="B8" s="38" t="s">
        <v>273</v>
      </c>
      <c r="C8" s="38" t="s">
        <v>363</v>
      </c>
      <c r="D8" s="39" t="s">
        <v>869</v>
      </c>
      <c r="E8" s="38" t="s">
        <v>870</v>
      </c>
      <c r="F8" s="38" t="s">
        <v>871</v>
      </c>
      <c r="G8" s="38" t="s">
        <v>861</v>
      </c>
      <c r="H8" s="45" t="n">
        <v>60000</v>
      </c>
      <c r="I8" s="38" t="s">
        <v>862</v>
      </c>
      <c r="J8" s="44" t="n">
        <v>46405</v>
      </c>
      <c r="K8" s="44" t="n">
        <v>46405</v>
      </c>
      <c r="L8" s="44" t="n">
        <v>46433</v>
      </c>
      <c r="M8" s="44" t="n">
        <v>46430</v>
      </c>
      <c r="N8" s="48" t="n">
        <f aca="false">IF(M8&lt;&gt;"",M8-L8,IF(L8&lt;&gt;"",MAX(0,Fecha_Corte-L8),""))</f>
        <v>-3</v>
      </c>
      <c r="O8" s="46" t="n">
        <f aca="false">SUMIFS(F5_Contratos!$G$5:$G$200,F5_Contratos!$B$5:$B$200,A8)</f>
        <v>58800</v>
      </c>
      <c r="P8" s="17" t="str">
        <f aca="false">IF(OR(I8="Contratado",I8="Cerrado"),IF(N8&gt;0,"Contratado con atraso","Contratado a tiempo"),IF(AND(K8="",J8&lt;&gt;"",Fecha_Corte&gt;J8),"Atrasado",IF(L8="","Sin fecha prevista",IF(Fecha_Corte&gt;L8,"Atrasado",IF(L8-Fecha_Corte&lt;=Dias_Alerta,"Próximo a vencer","En plazo")))))</f>
        <v>Contratado a tiempo</v>
      </c>
    </row>
    <row r="9" customFormat="false" ht="15" hidden="false" customHeight="false" outlineLevel="0" collapsed="false">
      <c r="A9" s="38" t="s">
        <v>872</v>
      </c>
      <c r="B9" s="38" t="s">
        <v>273</v>
      </c>
      <c r="C9" s="38" t="s">
        <v>372</v>
      </c>
      <c r="D9" s="39" t="s">
        <v>873</v>
      </c>
      <c r="E9" s="38" t="s">
        <v>859</v>
      </c>
      <c r="F9" s="38" t="s">
        <v>860</v>
      </c>
      <c r="G9" s="38" t="s">
        <v>861</v>
      </c>
      <c r="H9" s="45" t="n">
        <v>400000</v>
      </c>
      <c r="I9" s="38" t="s">
        <v>862</v>
      </c>
      <c r="J9" s="44" t="n">
        <v>46461</v>
      </c>
      <c r="K9" s="44" t="n">
        <v>46464</v>
      </c>
      <c r="L9" s="44" t="n">
        <v>46517</v>
      </c>
      <c r="M9" s="44" t="n">
        <v>46531</v>
      </c>
      <c r="N9" s="48" t="n">
        <f aca="false">IF(M9&lt;&gt;"",M9-L9,IF(L9&lt;&gt;"",MAX(0,Fecha_Corte-L9),""))</f>
        <v>14</v>
      </c>
      <c r="O9" s="46" t="n">
        <f aca="false">SUMIFS(F5_Contratos!$G$5:$G$200,F5_Contratos!$B$5:$B$200,A9)</f>
        <v>395000</v>
      </c>
      <c r="P9" s="17" t="str">
        <f aca="false">IF(OR(I9="Contratado",I9="Cerrado"),IF(N9&gt;0,"Contratado con atraso","Contratado a tiempo"),IF(AND(K9="",J9&lt;&gt;"",Fecha_Corte&gt;J9),"Atrasado",IF(L9="","Sin fecha prevista",IF(Fecha_Corte&gt;L9,"Atrasado",IF(L9-Fecha_Corte&lt;=Dias_Alerta,"Próximo a vencer","En plazo")))))</f>
        <v>Contratado con atraso</v>
      </c>
    </row>
    <row r="10" customFormat="false" ht="15" hidden="false" customHeight="false" outlineLevel="0" collapsed="false">
      <c r="A10" s="38" t="s">
        <v>874</v>
      </c>
      <c r="B10" s="38" t="s">
        <v>273</v>
      </c>
      <c r="C10" s="38" t="s">
        <v>375</v>
      </c>
      <c r="D10" s="39" t="s">
        <v>875</v>
      </c>
      <c r="E10" s="38" t="s">
        <v>718</v>
      </c>
      <c r="F10" s="38" t="s">
        <v>864</v>
      </c>
      <c r="G10" s="38" t="s">
        <v>861</v>
      </c>
      <c r="H10" s="45" t="n">
        <v>240000</v>
      </c>
      <c r="I10" s="38" t="s">
        <v>876</v>
      </c>
      <c r="J10" s="44" t="n">
        <v>46522</v>
      </c>
      <c r="K10" s="44" t="n">
        <v>46539</v>
      </c>
      <c r="L10" s="44" t="n">
        <v>46614</v>
      </c>
      <c r="M10" s="44"/>
      <c r="N10" s="48" t="n">
        <f aca="false">IF(M10&lt;&gt;"",M10-L10,IF(L10&lt;&gt;"",MAX(0,Fecha_Corte-L10),""))</f>
        <v>0</v>
      </c>
      <c r="O10" s="46" t="n">
        <f aca="false">SUMIFS(F5_Contratos!$G$5:$G$200,F5_Contratos!$B$5:$B$200,A10)</f>
        <v>0</v>
      </c>
      <c r="P10" s="17" t="str">
        <f aca="false">IF(OR(I10="Contratado",I10="Cerrado"),IF(N10&gt;0,"Contratado con atraso","Contratado a tiempo"),IF(AND(K10="",J10&lt;&gt;"",Fecha_Corte&gt;J10),"Atrasado",IF(L10="","Sin fecha prevista",IF(Fecha_Corte&gt;L10,"Atrasado",IF(L10-Fecha_Corte&lt;=Dias_Alerta,"Próximo a vencer","En plazo")))))</f>
        <v>En plazo</v>
      </c>
    </row>
    <row r="11" customFormat="false" ht="15" hidden="false" customHeight="false" outlineLevel="0" collapsed="false">
      <c r="A11" s="38" t="s">
        <v>877</v>
      </c>
      <c r="B11" s="38" t="s">
        <v>282</v>
      </c>
      <c r="C11" s="38" t="s">
        <v>381</v>
      </c>
      <c r="D11" s="39" t="s">
        <v>878</v>
      </c>
      <c r="E11" s="38" t="s">
        <v>859</v>
      </c>
      <c r="F11" s="38" t="s">
        <v>860</v>
      </c>
      <c r="G11" s="38" t="s">
        <v>861</v>
      </c>
      <c r="H11" s="45" t="n">
        <v>190000</v>
      </c>
      <c r="I11" s="38" t="s">
        <v>862</v>
      </c>
      <c r="J11" s="44" t="n">
        <v>46419</v>
      </c>
      <c r="K11" s="44" t="n">
        <v>46421</v>
      </c>
      <c r="L11" s="44" t="n">
        <v>46477</v>
      </c>
      <c r="M11" s="44" t="n">
        <v>46475</v>
      </c>
      <c r="N11" s="48" t="n">
        <f aca="false">IF(M11&lt;&gt;"",M11-L11,IF(L11&lt;&gt;"",MAX(0,Fecha_Corte-L11),""))</f>
        <v>-2</v>
      </c>
      <c r="O11" s="46" t="n">
        <f aca="false">SUMIFS(F5_Contratos!$G$5:$G$200,F5_Contratos!$B$5:$B$200,A11)</f>
        <v>185000</v>
      </c>
      <c r="P11" s="17" t="str">
        <f aca="false">IF(OR(I11="Contratado",I11="Cerrado"),IF(N11&gt;0,"Contratado con atraso","Contratado a tiempo"),IF(AND(K11="",J11&lt;&gt;"",Fecha_Corte&gt;J11),"Atrasado",IF(L11="","Sin fecha prevista",IF(Fecha_Corte&gt;L11,"Atrasado",IF(L11-Fecha_Corte&lt;=Dias_Alerta,"Próximo a vencer","En plazo")))))</f>
        <v>Contratado a tiempo</v>
      </c>
    </row>
    <row r="12" customFormat="false" ht="26.85" hidden="false" customHeight="false" outlineLevel="0" collapsed="false">
      <c r="A12" s="38" t="s">
        <v>879</v>
      </c>
      <c r="B12" s="38" t="s">
        <v>282</v>
      </c>
      <c r="C12" s="38" t="s">
        <v>384</v>
      </c>
      <c r="D12" s="39" t="s">
        <v>880</v>
      </c>
      <c r="E12" s="38" t="s">
        <v>870</v>
      </c>
      <c r="F12" s="38" t="s">
        <v>871</v>
      </c>
      <c r="G12" s="38" t="s">
        <v>861</v>
      </c>
      <c r="H12" s="45" t="n">
        <v>70000</v>
      </c>
      <c r="I12" s="38" t="s">
        <v>862</v>
      </c>
      <c r="J12" s="44" t="n">
        <v>46461</v>
      </c>
      <c r="K12" s="44" t="n">
        <v>46462</v>
      </c>
      <c r="L12" s="44" t="n">
        <v>46507</v>
      </c>
      <c r="M12" s="44" t="n">
        <v>46514</v>
      </c>
      <c r="N12" s="48" t="n">
        <f aca="false">IF(M12&lt;&gt;"",M12-L12,IF(L12&lt;&gt;"",MAX(0,Fecha_Corte-L12),""))</f>
        <v>7</v>
      </c>
      <c r="O12" s="46" t="n">
        <f aca="false">SUMIFS(F5_Contratos!$G$5:$G$200,F5_Contratos!$B$5:$B$200,A12)</f>
        <v>68000</v>
      </c>
      <c r="P12" s="17" t="str">
        <f aca="false">IF(OR(I12="Contratado",I12="Cerrado"),IF(N12&gt;0,"Contratado con atraso","Contratado a tiempo"),IF(AND(K12="",J12&lt;&gt;"",Fecha_Corte&gt;J12),"Atrasado",IF(L12="","Sin fecha prevista",IF(Fecha_Corte&gt;L12,"Atrasado",IF(L12-Fecha_Corte&lt;=Dias_Alerta,"Próximo a vencer","En plazo")))))</f>
        <v>Contratado con atraso</v>
      </c>
    </row>
    <row r="13" customFormat="false" ht="15" hidden="false" customHeight="false" outlineLevel="0" collapsed="false">
      <c r="A13" s="38" t="s">
        <v>881</v>
      </c>
      <c r="B13" s="38" t="s">
        <v>301</v>
      </c>
      <c r="C13" s="38" t="s">
        <v>392</v>
      </c>
      <c r="D13" s="39" t="s">
        <v>882</v>
      </c>
      <c r="E13" s="38" t="s">
        <v>859</v>
      </c>
      <c r="F13" s="38" t="s">
        <v>860</v>
      </c>
      <c r="G13" s="38" t="s">
        <v>861</v>
      </c>
      <c r="H13" s="45" t="n">
        <v>340000</v>
      </c>
      <c r="I13" s="38" t="s">
        <v>862</v>
      </c>
      <c r="J13" s="44" t="n">
        <v>46407</v>
      </c>
      <c r="K13" s="44" t="n">
        <v>46409</v>
      </c>
      <c r="L13" s="44" t="n">
        <v>46461</v>
      </c>
      <c r="M13" s="44" t="n">
        <v>46458</v>
      </c>
      <c r="N13" s="48" t="n">
        <f aca="false">IF(M13&lt;&gt;"",M13-L13,IF(L13&lt;&gt;"",MAX(0,Fecha_Corte-L13),""))</f>
        <v>-3</v>
      </c>
      <c r="O13" s="46" t="n">
        <f aca="false">SUMIFS(F5_Contratos!$G$5:$G$200,F5_Contratos!$B$5:$B$200,A13)</f>
        <v>332000</v>
      </c>
      <c r="P13" s="17" t="str">
        <f aca="false">IF(OR(I13="Contratado",I13="Cerrado"),IF(N13&gt;0,"Contratado con atraso","Contratado a tiempo"),IF(AND(K13="",J13&lt;&gt;"",Fecha_Corte&gt;J13),"Atrasado",IF(L13="","Sin fecha prevista",IF(Fecha_Corte&gt;L13,"Atrasado",IF(L13-Fecha_Corte&lt;=Dias_Alerta,"Próximo a vencer","En plazo")))))</f>
        <v>Contratado a tiempo</v>
      </c>
    </row>
    <row r="14" customFormat="false" ht="15" hidden="false" customHeight="false" outlineLevel="0" collapsed="false">
      <c r="A14" s="38" t="s">
        <v>883</v>
      </c>
      <c r="B14" s="38" t="s">
        <v>301</v>
      </c>
      <c r="C14" s="38" t="s">
        <v>395</v>
      </c>
      <c r="D14" s="39" t="s">
        <v>274</v>
      </c>
      <c r="E14" s="38" t="s">
        <v>642</v>
      </c>
      <c r="F14" s="38" t="s">
        <v>884</v>
      </c>
      <c r="G14" s="38" t="s">
        <v>861</v>
      </c>
      <c r="H14" s="45" t="n">
        <v>900000</v>
      </c>
      <c r="I14" s="38" t="s">
        <v>862</v>
      </c>
      <c r="J14" s="44" t="n">
        <v>46447</v>
      </c>
      <c r="K14" s="44" t="n">
        <v>46454</v>
      </c>
      <c r="L14" s="44" t="n">
        <v>46522</v>
      </c>
      <c r="M14" s="44" t="n">
        <v>46534</v>
      </c>
      <c r="N14" s="48" t="n">
        <f aca="false">IF(M14&lt;&gt;"",M14-L14,IF(L14&lt;&gt;"",MAX(0,Fecha_Corte-L14),""))</f>
        <v>12</v>
      </c>
      <c r="O14" s="46" t="n">
        <f aca="false">SUMIFS(F5_Contratos!$G$5:$G$200,F5_Contratos!$B$5:$B$200,A14)</f>
        <v>871000</v>
      </c>
      <c r="P14" s="17" t="str">
        <f aca="false">IF(OR(I14="Contratado",I14="Cerrado"),IF(N14&gt;0,"Contratado con atraso","Contratado a tiempo"),IF(AND(K14="",J14&lt;&gt;"",Fecha_Corte&gt;J14),"Atrasado",IF(L14="","Sin fecha prevista",IF(Fecha_Corte&gt;L14,"Atrasado",IF(L14-Fecha_Corte&lt;=Dias_Alerta,"Próximo a vencer","En plazo")))))</f>
        <v>Contratado con atraso</v>
      </c>
    </row>
    <row r="15" customFormat="false" ht="15" hidden="false" customHeight="false" outlineLevel="0" collapsed="false">
      <c r="A15" s="38" t="s">
        <v>885</v>
      </c>
      <c r="B15" s="38" t="s">
        <v>301</v>
      </c>
      <c r="C15" s="38" t="s">
        <v>400</v>
      </c>
      <c r="D15" s="39" t="s">
        <v>886</v>
      </c>
      <c r="E15" s="38" t="s">
        <v>718</v>
      </c>
      <c r="F15" s="38" t="s">
        <v>884</v>
      </c>
      <c r="G15" s="38" t="s">
        <v>861</v>
      </c>
      <c r="H15" s="45" t="n">
        <v>600000</v>
      </c>
      <c r="I15" s="38" t="s">
        <v>887</v>
      </c>
      <c r="J15" s="44" t="n">
        <v>46492</v>
      </c>
      <c r="K15" s="44" t="n">
        <v>46537</v>
      </c>
      <c r="L15" s="44" t="n">
        <v>46583</v>
      </c>
      <c r="M15" s="44"/>
      <c r="N15" s="48" t="n">
        <f aca="false">IF(M15&lt;&gt;"",M15-L15,IF(L15&lt;&gt;"",MAX(0,Fecha_Corte-L15),""))</f>
        <v>0</v>
      </c>
      <c r="O15" s="46" t="n">
        <f aca="false">SUMIFS(F5_Contratos!$G$5:$G$200,F5_Contratos!$B$5:$B$200,A15)</f>
        <v>0</v>
      </c>
      <c r="P15" s="17" t="str">
        <f aca="false">IF(OR(I15="Contratado",I15="Cerrado"),IF(N15&gt;0,"Contratado con atraso","Contratado a tiempo"),IF(AND(K15="",J15&lt;&gt;"",Fecha_Corte&gt;J15),"Atrasado",IF(L15="","Sin fecha prevista",IF(Fecha_Corte&gt;L15,"Atrasado",IF(L15-Fecha_Corte&lt;=Dias_Alerta,"Próximo a vencer","En plazo")))))</f>
        <v>Próximo a vencer</v>
      </c>
    </row>
    <row r="16" customFormat="false" ht="15" hidden="false" customHeight="false" outlineLevel="0" collapsed="false">
      <c r="A16" s="38" t="s">
        <v>888</v>
      </c>
      <c r="B16" s="38" t="s">
        <v>301</v>
      </c>
      <c r="C16" s="38" t="s">
        <v>397</v>
      </c>
      <c r="D16" s="39" t="s">
        <v>889</v>
      </c>
      <c r="E16" s="38" t="s">
        <v>859</v>
      </c>
      <c r="F16" s="38" t="s">
        <v>860</v>
      </c>
      <c r="G16" s="38" t="s">
        <v>861</v>
      </c>
      <c r="H16" s="45" t="n">
        <v>380000</v>
      </c>
      <c r="I16" s="38" t="s">
        <v>890</v>
      </c>
      <c r="J16" s="44" t="n">
        <v>46522</v>
      </c>
      <c r="K16" s="44"/>
      <c r="L16" s="44" t="n">
        <v>46614</v>
      </c>
      <c r="M16" s="44"/>
      <c r="N16" s="48" t="n">
        <f aca="false">IF(M16&lt;&gt;"",M16-L16,IF(L16&lt;&gt;"",MAX(0,Fecha_Corte-L16),""))</f>
        <v>0</v>
      </c>
      <c r="O16" s="46" t="n">
        <f aca="false">SUMIFS(F5_Contratos!$G$5:$G$200,F5_Contratos!$B$5:$B$200,A16)</f>
        <v>0</v>
      </c>
      <c r="P16" s="17" t="str">
        <f aca="false">IF(OR(I16="Contratado",I16="Cerrado"),IF(N16&gt;0,"Contratado con atraso","Contratado a tiempo"),IF(AND(K16="",J16&lt;&gt;"",Fecha_Corte&gt;J16),"Atrasado",IF(L16="","Sin fecha prevista",IF(Fecha_Corte&gt;L16,"Atrasado",IF(L16-Fecha_Corte&lt;=Dias_Alerta,"Próximo a vencer","En plazo")))))</f>
        <v>Atrasado</v>
      </c>
    </row>
    <row r="17" customFormat="false" ht="15" hidden="false" customHeight="false" outlineLevel="0" collapsed="false">
      <c r="A17" s="38" t="s">
        <v>891</v>
      </c>
      <c r="B17" s="38" t="s">
        <v>330</v>
      </c>
      <c r="C17" s="38" t="s">
        <v>403</v>
      </c>
      <c r="D17" s="39" t="s">
        <v>892</v>
      </c>
      <c r="E17" s="38" t="s">
        <v>870</v>
      </c>
      <c r="F17" s="38" t="s">
        <v>871</v>
      </c>
      <c r="G17" s="38" t="s">
        <v>861</v>
      </c>
      <c r="H17" s="45" t="n">
        <v>50400</v>
      </c>
      <c r="I17" s="38" t="s">
        <v>862</v>
      </c>
      <c r="J17" s="44" t="n">
        <v>46357</v>
      </c>
      <c r="K17" s="44" t="n">
        <v>46357</v>
      </c>
      <c r="L17" s="44" t="n">
        <v>46391</v>
      </c>
      <c r="M17" s="44" t="n">
        <v>46391</v>
      </c>
      <c r="N17" s="48" t="n">
        <f aca="false">IF(M17&lt;&gt;"",M17-L17,IF(L17&lt;&gt;"",MAX(0,Fecha_Corte-L17),""))</f>
        <v>0</v>
      </c>
      <c r="O17" s="46" t="n">
        <f aca="false">SUMIFS(F5_Contratos!$G$5:$G$200,F5_Contratos!$B$5:$B$200,A17)</f>
        <v>50400</v>
      </c>
      <c r="P17" s="17" t="str">
        <f aca="false">IF(OR(I17="Contratado",I17="Cerrado"),IF(N17&gt;0,"Contratado con atraso","Contratado a tiempo"),IF(AND(K17="",J17&lt;&gt;"",Fecha_Corte&gt;J17),"Atrasado",IF(L17="","Sin fecha prevista",IF(Fecha_Corte&gt;L17,"Atrasado",IF(L17-Fecha_Corte&lt;=Dias_Alerta,"Próximo a vencer","En plazo")))))</f>
        <v>Contratado a tiempo</v>
      </c>
    </row>
    <row r="18" customFormat="false" ht="15" hidden="false" customHeight="false" outlineLevel="0" collapsed="false">
      <c r="A18" s="38" t="s">
        <v>893</v>
      </c>
      <c r="B18" s="38" t="s">
        <v>330</v>
      </c>
      <c r="C18" s="38" t="s">
        <v>403</v>
      </c>
      <c r="D18" s="39" t="s">
        <v>894</v>
      </c>
      <c r="E18" s="38" t="s">
        <v>870</v>
      </c>
      <c r="F18" s="38" t="s">
        <v>871</v>
      </c>
      <c r="G18" s="38" t="s">
        <v>861</v>
      </c>
      <c r="H18" s="45" t="n">
        <v>48000</v>
      </c>
      <c r="I18" s="38" t="s">
        <v>862</v>
      </c>
      <c r="J18" s="44" t="n">
        <v>46357</v>
      </c>
      <c r="K18" s="44" t="n">
        <v>46357</v>
      </c>
      <c r="L18" s="44" t="n">
        <v>46391</v>
      </c>
      <c r="M18" s="44" t="n">
        <v>46398</v>
      </c>
      <c r="N18" s="48" t="n">
        <f aca="false">IF(M18&lt;&gt;"",M18-L18,IF(L18&lt;&gt;"",MAX(0,Fecha_Corte-L18),""))</f>
        <v>7</v>
      </c>
      <c r="O18" s="46" t="n">
        <f aca="false">SUMIFS(F5_Contratos!$G$5:$G$200,F5_Contratos!$B$5:$B$200,A18)</f>
        <v>48000</v>
      </c>
      <c r="P18" s="17" t="str">
        <f aca="false">IF(OR(I18="Contratado",I18="Cerrado"),IF(N18&gt;0,"Contratado con atraso","Contratado a tiempo"),IF(AND(K18="",J18&lt;&gt;"",Fecha_Corte&gt;J18),"Atrasado",IF(L18="","Sin fecha prevista",IF(Fecha_Corte&gt;L18,"Atrasado",IF(L18-Fecha_Corte&lt;=Dias_Alerta,"Próximo a vencer","En plazo")))))</f>
        <v>Contratado con atraso</v>
      </c>
    </row>
    <row r="19" customFormat="false" ht="15" hidden="false" customHeight="false" outlineLevel="0" collapsed="false">
      <c r="A19" s="38" t="s">
        <v>895</v>
      </c>
      <c r="B19" s="38" t="s">
        <v>330</v>
      </c>
      <c r="C19" s="38" t="s">
        <v>403</v>
      </c>
      <c r="D19" s="39" t="s">
        <v>896</v>
      </c>
      <c r="E19" s="38" t="s">
        <v>870</v>
      </c>
      <c r="F19" s="38" t="s">
        <v>871</v>
      </c>
      <c r="G19" s="38" t="s">
        <v>861</v>
      </c>
      <c r="H19" s="45" t="n">
        <v>48000</v>
      </c>
      <c r="I19" s="38" t="s">
        <v>862</v>
      </c>
      <c r="J19" s="44" t="n">
        <v>46357</v>
      </c>
      <c r="K19" s="44" t="n">
        <v>46357</v>
      </c>
      <c r="L19" s="44" t="n">
        <v>46391</v>
      </c>
      <c r="M19" s="44" t="n">
        <v>46398</v>
      </c>
      <c r="N19" s="48" t="n">
        <f aca="false">IF(M19&lt;&gt;"",M19-L19,IF(L19&lt;&gt;"",MAX(0,Fecha_Corte-L19),""))</f>
        <v>7</v>
      </c>
      <c r="O19" s="46" t="n">
        <f aca="false">SUMIFS(F5_Contratos!$G$5:$G$200,F5_Contratos!$B$5:$B$200,A19)</f>
        <v>48000</v>
      </c>
      <c r="P19" s="17" t="str">
        <f aca="false">IF(OR(I19="Contratado",I19="Cerrado"),IF(N19&gt;0,"Contratado con atraso","Contratado a tiempo"),IF(AND(K19="",J19&lt;&gt;"",Fecha_Corte&gt;J19),"Atrasado",IF(L19="","Sin fecha prevista",IF(Fecha_Corte&gt;L19,"Atrasado",IF(L19-Fecha_Corte&lt;=Dias_Alerta,"Próximo a vencer","En plazo")))))</f>
        <v>Contratado con atraso</v>
      </c>
    </row>
    <row r="20" customFormat="false" ht="26.85" hidden="false" customHeight="false" outlineLevel="0" collapsed="false">
      <c r="A20" s="38" t="s">
        <v>897</v>
      </c>
      <c r="B20" s="38" t="s">
        <v>330</v>
      </c>
      <c r="C20" s="38" t="s">
        <v>403</v>
      </c>
      <c r="D20" s="39" t="s">
        <v>898</v>
      </c>
      <c r="E20" s="38" t="s">
        <v>870</v>
      </c>
      <c r="F20" s="38" t="s">
        <v>871</v>
      </c>
      <c r="G20" s="38" t="s">
        <v>861</v>
      </c>
      <c r="H20" s="45" t="n">
        <v>48000</v>
      </c>
      <c r="I20" s="38" t="s">
        <v>862</v>
      </c>
      <c r="J20" s="44" t="n">
        <v>46357</v>
      </c>
      <c r="K20" s="44" t="n">
        <v>46357</v>
      </c>
      <c r="L20" s="44" t="n">
        <v>46391</v>
      </c>
      <c r="M20" s="44" t="n">
        <v>46405</v>
      </c>
      <c r="N20" s="48" t="n">
        <f aca="false">IF(M20&lt;&gt;"",M20-L20,IF(L20&lt;&gt;"",MAX(0,Fecha_Corte-L20),""))</f>
        <v>14</v>
      </c>
      <c r="O20" s="46" t="n">
        <f aca="false">SUMIFS(F5_Contratos!$G$5:$G$200,F5_Contratos!$B$5:$B$200,A20)</f>
        <v>48000</v>
      </c>
      <c r="P20" s="17" t="str">
        <f aca="false">IF(OR(I20="Contratado",I20="Cerrado"),IF(N20&gt;0,"Contratado con atraso","Contratado a tiempo"),IF(AND(K20="",J20&lt;&gt;"",Fecha_Corte&gt;J20),"Atrasado",IF(L20="","Sin fecha prevista",IF(Fecha_Corte&gt;L20,"Atrasado",IF(L20-Fecha_Corte&lt;=Dias_Alerta,"Próximo a vencer","En plazo")))))</f>
        <v>Contratado con atraso</v>
      </c>
    </row>
    <row r="21" customFormat="false" ht="15" hidden="false" customHeight="false" outlineLevel="0" collapsed="false">
      <c r="A21" s="38" t="s">
        <v>899</v>
      </c>
      <c r="B21" s="38" t="s">
        <v>330</v>
      </c>
      <c r="C21" s="38" t="s">
        <v>403</v>
      </c>
      <c r="D21" s="39" t="s">
        <v>900</v>
      </c>
      <c r="E21" s="38" t="s">
        <v>870</v>
      </c>
      <c r="F21" s="38" t="s">
        <v>871</v>
      </c>
      <c r="G21" s="38" t="s">
        <v>861</v>
      </c>
      <c r="H21" s="45" t="n">
        <v>48000</v>
      </c>
      <c r="I21" s="38" t="s">
        <v>862</v>
      </c>
      <c r="J21" s="44" t="n">
        <v>46357</v>
      </c>
      <c r="K21" s="44" t="n">
        <v>46357</v>
      </c>
      <c r="L21" s="44" t="n">
        <v>46391</v>
      </c>
      <c r="M21" s="44" t="n">
        <v>46405</v>
      </c>
      <c r="N21" s="48" t="n">
        <f aca="false">IF(M21&lt;&gt;"",M21-L21,IF(L21&lt;&gt;"",MAX(0,Fecha_Corte-L21),""))</f>
        <v>14</v>
      </c>
      <c r="O21" s="46" t="n">
        <f aca="false">SUMIFS(F5_Contratos!$G$5:$G$200,F5_Contratos!$B$5:$B$200,A21)</f>
        <v>48000</v>
      </c>
      <c r="P21" s="17" t="str">
        <f aca="false">IF(OR(I21="Contratado",I21="Cerrado"),IF(N21&gt;0,"Contratado con atraso","Contratado a tiempo"),IF(AND(K21="",J21&lt;&gt;"",Fecha_Corte&gt;J21),"Atrasado",IF(L21="","Sin fecha prevista",IF(Fecha_Corte&gt;L21,"Atrasado",IF(L21-Fecha_Corte&lt;=Dias_Alerta,"Próximo a vencer","En plazo")))))</f>
        <v>Contratado con atraso</v>
      </c>
    </row>
    <row r="22" customFormat="false" ht="15" hidden="false" customHeight="false" outlineLevel="0" collapsed="false">
      <c r="A22" s="38" t="s">
        <v>901</v>
      </c>
      <c r="B22" s="38" t="s">
        <v>330</v>
      </c>
      <c r="C22" s="38" t="s">
        <v>409</v>
      </c>
      <c r="D22" s="39" t="s">
        <v>902</v>
      </c>
      <c r="E22" s="38" t="s">
        <v>859</v>
      </c>
      <c r="F22" s="38" t="s">
        <v>860</v>
      </c>
      <c r="G22" s="38" t="s">
        <v>861</v>
      </c>
      <c r="H22" s="45" t="n">
        <v>85000</v>
      </c>
      <c r="I22" s="38" t="s">
        <v>876</v>
      </c>
      <c r="J22" s="44" t="n">
        <v>46522</v>
      </c>
      <c r="K22" s="44" t="n">
        <v>46548</v>
      </c>
      <c r="L22" s="44" t="n">
        <v>46645</v>
      </c>
      <c r="M22" s="44"/>
      <c r="N22" s="48" t="n">
        <f aca="false">IF(M22&lt;&gt;"",M22-L22,IF(L22&lt;&gt;"",MAX(0,Fecha_Corte-L22),""))</f>
        <v>0</v>
      </c>
      <c r="O22" s="46" t="n">
        <f aca="false">SUMIFS(F5_Contratos!$G$5:$G$200,F5_Contratos!$B$5:$B$200,A22)</f>
        <v>0</v>
      </c>
      <c r="P22" s="17" t="str">
        <f aca="false">IF(OR(I22="Contratado",I22="Cerrado"),IF(N22&gt;0,"Contratado con atraso","Contratado a tiempo"),IF(AND(K22="",J22&lt;&gt;"",Fecha_Corte&gt;J22),"Atrasado",IF(L22="","Sin fecha prevista",IF(Fecha_Corte&gt;L22,"Atrasado",IF(L22-Fecha_Corte&lt;=Dias_Alerta,"Próximo a vencer","En plazo")))))</f>
        <v>En plazo</v>
      </c>
    </row>
    <row r="23" customFormat="false" ht="15" hidden="false" customHeight="false" outlineLevel="0" collapsed="false">
      <c r="A23" s="38" t="s">
        <v>903</v>
      </c>
      <c r="B23" s="38" t="s">
        <v>330</v>
      </c>
      <c r="C23" s="38" t="s">
        <v>406</v>
      </c>
      <c r="D23" s="39" t="s">
        <v>904</v>
      </c>
      <c r="E23" s="38" t="s">
        <v>859</v>
      </c>
      <c r="F23" s="38" t="s">
        <v>860</v>
      </c>
      <c r="G23" s="38" t="s">
        <v>861</v>
      </c>
      <c r="H23" s="45" t="n">
        <v>150000</v>
      </c>
      <c r="I23" s="38" t="s">
        <v>862</v>
      </c>
      <c r="J23" s="44" t="n">
        <v>46412</v>
      </c>
      <c r="K23" s="44" t="n">
        <v>46414</v>
      </c>
      <c r="L23" s="44" t="n">
        <v>46461</v>
      </c>
      <c r="M23" s="44" t="n">
        <v>46468</v>
      </c>
      <c r="N23" s="48" t="n">
        <f aca="false">IF(M23&lt;&gt;"",M23-L23,IF(L23&lt;&gt;"",MAX(0,Fecha_Corte-L23),""))</f>
        <v>7</v>
      </c>
      <c r="O23" s="46" t="n">
        <f aca="false">SUMIFS(F5_Contratos!$G$5:$G$200,F5_Contratos!$B$5:$B$200,A23)</f>
        <v>146000</v>
      </c>
      <c r="P23" s="17" t="str">
        <f aca="false">IF(OR(I23="Contratado",I23="Cerrado"),IF(N23&gt;0,"Contratado con atraso","Contratado a tiempo"),IF(AND(K23="",J23&lt;&gt;"",Fecha_Corte&gt;J23),"Atrasado",IF(L23="","Sin fecha prevista",IF(Fecha_Corte&gt;L23,"Atrasado",IF(L23-Fecha_Corte&lt;=Dias_Alerta,"Próximo a vencer","En plazo")))))</f>
        <v>Contratado con atraso</v>
      </c>
    </row>
    <row r="24" customFormat="false" ht="26.85" hidden="false" customHeight="false" outlineLevel="0" collapsed="false">
      <c r="A24" s="38" t="s">
        <v>905</v>
      </c>
      <c r="B24" s="38" t="s">
        <v>330</v>
      </c>
      <c r="C24" s="38" t="s">
        <v>412</v>
      </c>
      <c r="D24" s="39" t="s">
        <v>906</v>
      </c>
      <c r="E24" s="38" t="s">
        <v>870</v>
      </c>
      <c r="F24" s="38" t="s">
        <v>871</v>
      </c>
      <c r="G24" s="38" t="s">
        <v>861</v>
      </c>
      <c r="H24" s="45" t="n">
        <v>36000</v>
      </c>
      <c r="I24" s="38" t="s">
        <v>862</v>
      </c>
      <c r="J24" s="44" t="n">
        <v>46412</v>
      </c>
      <c r="K24" s="44" t="n">
        <v>46412</v>
      </c>
      <c r="L24" s="44" t="n">
        <v>46446</v>
      </c>
      <c r="M24" s="44" t="n">
        <v>46447</v>
      </c>
      <c r="N24" s="48" t="n">
        <f aca="false">IF(M24&lt;&gt;"",M24-L24,IF(L24&lt;&gt;"",MAX(0,Fecha_Corte-L24),""))</f>
        <v>1</v>
      </c>
      <c r="O24" s="46" t="n">
        <f aca="false">SUMIFS(F5_Contratos!$G$5:$G$200,F5_Contratos!$B$5:$B$200,A24)</f>
        <v>36000</v>
      </c>
      <c r="P24" s="17" t="str">
        <f aca="false">IF(OR(I24="Contratado",I24="Cerrado"),IF(N24&gt;0,"Contratado con atraso","Contratado a tiempo"),IF(AND(K24="",J24&lt;&gt;"",Fecha_Corte&gt;J24),"Atrasado",IF(L24="","Sin fecha prevista",IF(Fecha_Corte&gt;L24,"Atrasado",IF(L24-Fecha_Corte&lt;=Dias_Alerta,"Próximo a vencer","En plazo")))))</f>
        <v>Contratado con atraso</v>
      </c>
    </row>
  </sheetData>
  <autoFilter ref="A4:P24"/>
  <conditionalFormatting sqref="P5:P500">
    <cfRule type="cellIs" priority="2" operator="equal" aboveAverage="0" equalAverage="0" bottom="0" percent="0" rank="0" text="" dxfId="0">
      <formula>"Contratado a tiempo"</formula>
    </cfRule>
    <cfRule type="cellIs" priority="3" operator="equal" aboveAverage="0" equalAverage="0" bottom="0" percent="0" rank="0" text="" dxfId="1">
      <formula>"Próximo a vencer"</formula>
    </cfRule>
    <cfRule type="cellIs" priority="4" operator="equal" aboveAverage="0" equalAverage="0" bottom="0" percent="0" rank="0" text="" dxfId="2">
      <formula>"Atrasado"</formula>
    </cfRule>
    <cfRule type="cellIs" priority="5" operator="equal" aboveAverage="0" equalAverage="0" bottom="0" percent="0" rank="0" text="" dxfId="1">
      <formula>"Contratado con atraso"</formula>
    </cfRule>
  </conditionalFormatting>
  <dataValidations count="5">
    <dataValidation allowBlank="true" error="Valor no válido" errorStyle="stop" errorTitle="Seleccione un valor de la lista" operator="between" showDropDown="false" showErrorMessage="false" showInputMessage="false" sqref="B5:B500" type="list">
      <formula1>Listas!$A$5:$A$9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E5:E500" type="list">
      <formula1>Listas!$J$5:$J$9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F5:F500" type="list">
      <formula1>Listas!$H$5:$H$12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G5:G500" type="list">
      <formula1>Listas!$K$5:$K$6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I5:I500" type="list">
      <formula1>Listas!$I$5:$I$10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9"/>
    <col collapsed="false" customWidth="true" hidden="false" outlineLevel="0" max="12" min="11" style="0" width="14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1"/>
  </cols>
  <sheetData>
    <row r="1" customFormat="false" ht="24" hidden="false" customHeight="true" outlineLevel="0" collapsed="false">
      <c r="A1" s="1" t="s">
        <v>907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908</v>
      </c>
    </row>
    <row r="4" customFormat="false" ht="43.5" hidden="false" customHeight="true" outlineLevel="0" collapsed="false">
      <c r="A4" s="14" t="s">
        <v>909</v>
      </c>
      <c r="B4" s="14" t="s">
        <v>844</v>
      </c>
      <c r="C4" s="14" t="s">
        <v>603</v>
      </c>
      <c r="D4" s="14" t="s">
        <v>256</v>
      </c>
      <c r="E4" s="14" t="s">
        <v>910</v>
      </c>
      <c r="F4" s="14" t="s">
        <v>911</v>
      </c>
      <c r="G4" s="14" t="s">
        <v>912</v>
      </c>
      <c r="H4" s="14" t="s">
        <v>913</v>
      </c>
      <c r="I4" s="14" t="s">
        <v>914</v>
      </c>
      <c r="J4" s="14" t="s">
        <v>915</v>
      </c>
      <c r="K4" s="14" t="s">
        <v>916</v>
      </c>
      <c r="L4" s="14" t="s">
        <v>917</v>
      </c>
      <c r="M4" s="14" t="s">
        <v>918</v>
      </c>
      <c r="N4" s="14" t="s">
        <v>919</v>
      </c>
      <c r="O4" s="14" t="s">
        <v>920</v>
      </c>
      <c r="P4" s="14" t="s">
        <v>921</v>
      </c>
    </row>
    <row r="5" customFormat="false" ht="15" hidden="false" customHeight="false" outlineLevel="0" collapsed="false">
      <c r="A5" s="38" t="s">
        <v>638</v>
      </c>
      <c r="B5" s="38" t="s">
        <v>857</v>
      </c>
      <c r="C5" s="38" t="s">
        <v>348</v>
      </c>
      <c r="D5" s="17" t="str">
        <f aca="false">INDEX(P1_POA!$B$5:$B$200,MATCH(C5,P1_POA!$A$5:$A$200,0))</f>
        <v>C1</v>
      </c>
      <c r="E5" s="38" t="s">
        <v>922</v>
      </c>
      <c r="F5" s="39" t="s">
        <v>923</v>
      </c>
      <c r="G5" s="45" t="n">
        <v>118000</v>
      </c>
      <c r="H5" s="44" t="n">
        <v>46458</v>
      </c>
      <c r="I5" s="44" t="n">
        <v>46568</v>
      </c>
      <c r="J5" s="38" t="s">
        <v>616</v>
      </c>
      <c r="K5" s="46" t="n">
        <f aca="false">SUMIFS(F2_Ejecucion!$J$5:$J$500,F2_Ejecucion!$E$5:$E$500,A5)</f>
        <v>118000</v>
      </c>
      <c r="L5" s="46" t="n">
        <f aca="false">G5-K5</f>
        <v>0</v>
      </c>
      <c r="M5" s="41" t="n">
        <f aca="false">K5/G5</f>
        <v>1</v>
      </c>
      <c r="N5" s="17" t="str">
        <f aca="false">IF(I5&lt;Fecha_Corte,"Vencido",IF(I5-Fecha_Corte&lt;=Dias_Alerta,"Por vencer","Vigente"))</f>
        <v>Por vencer</v>
      </c>
      <c r="O5" s="17" t="str">
        <f aca="false">INDEX(P1_POA!$D$5:$D$200,MATCH(C5,P1_POA!$A$5:$A$200,0))</f>
        <v>Esp. Social</v>
      </c>
      <c r="P5" s="48" t="n">
        <f aca="false">IF(K5&gt;G5,1,0)</f>
        <v>0</v>
      </c>
    </row>
    <row r="6" customFormat="false" ht="15" hidden="false" customHeight="false" outlineLevel="0" collapsed="false">
      <c r="A6" s="38" t="s">
        <v>654</v>
      </c>
      <c r="B6" s="38" t="s">
        <v>863</v>
      </c>
      <c r="C6" s="38" t="s">
        <v>357</v>
      </c>
      <c r="D6" s="17" t="str">
        <f aca="false">INDEX(P1_POA!$B$5:$B$200,MATCH(C6,P1_POA!$A$5:$A$200,0))</f>
        <v>C1</v>
      </c>
      <c r="E6" s="38" t="s">
        <v>924</v>
      </c>
      <c r="F6" s="39" t="s">
        <v>925</v>
      </c>
      <c r="G6" s="45" t="n">
        <v>248500</v>
      </c>
      <c r="H6" s="44" t="n">
        <v>46512</v>
      </c>
      <c r="I6" s="44" t="n">
        <v>46752</v>
      </c>
      <c r="J6" s="38" t="s">
        <v>656</v>
      </c>
      <c r="K6" s="46" t="n">
        <f aca="false">SUMIFS(F2_Ejecucion!$J$5:$J$500,F2_Ejecucion!$E$5:$E$500,A6)</f>
        <v>149100</v>
      </c>
      <c r="L6" s="46" t="n">
        <f aca="false">G6-K6</f>
        <v>99400</v>
      </c>
      <c r="M6" s="41" t="n">
        <f aca="false">K6/G6</f>
        <v>0.6</v>
      </c>
      <c r="N6" s="17" t="str">
        <f aca="false">IF(I6&lt;Fecha_Corte,"Vencido",IF(I6-Fecha_Corte&lt;=Dias_Alerta,"Por vencer","Vigente"))</f>
        <v>Vigente</v>
      </c>
      <c r="O6" s="17" t="str">
        <f aca="false">INDEX(P1_POA!$D$5:$D$200,MATCH(C6,P1_POA!$A$5:$A$200,0))</f>
        <v>Esp. Planificación, M&amp;S</v>
      </c>
      <c r="P6" s="48" t="n">
        <f aca="false">IF(K6&gt;G6,1,0)</f>
        <v>0</v>
      </c>
    </row>
    <row r="7" customFormat="false" ht="15" hidden="false" customHeight="false" outlineLevel="0" collapsed="false">
      <c r="A7" s="38" t="s">
        <v>660</v>
      </c>
      <c r="B7" s="38" t="s">
        <v>865</v>
      </c>
      <c r="C7" s="38" t="s">
        <v>354</v>
      </c>
      <c r="D7" s="17" t="str">
        <f aca="false">INDEX(P1_POA!$B$5:$B$200,MATCH(C7,P1_POA!$A$5:$A$200,0))</f>
        <v>C1</v>
      </c>
      <c r="E7" s="38" t="s">
        <v>926</v>
      </c>
      <c r="F7" s="39" t="s">
        <v>355</v>
      </c>
      <c r="G7" s="45" t="n">
        <v>285000</v>
      </c>
      <c r="H7" s="44" t="n">
        <v>46505</v>
      </c>
      <c r="I7" s="44" t="n">
        <v>46660</v>
      </c>
      <c r="J7" s="38" t="s">
        <v>656</v>
      </c>
      <c r="K7" s="46" t="n">
        <f aca="false">SUMIFS(F2_Ejecucion!$J$5:$J$500,F2_Ejecucion!$E$5:$E$500,A7)</f>
        <v>142500</v>
      </c>
      <c r="L7" s="46" t="n">
        <f aca="false">G7-K7</f>
        <v>142500</v>
      </c>
      <c r="M7" s="41" t="n">
        <f aca="false">K7/G7</f>
        <v>0.5</v>
      </c>
      <c r="N7" s="17" t="str">
        <f aca="false">IF(I7&lt;Fecha_Corte,"Vencido",IF(I7-Fecha_Corte&lt;=Dias_Alerta,"Por vencer","Vigente"))</f>
        <v>Vigente</v>
      </c>
      <c r="O7" s="17" t="str">
        <f aca="false">INDEX(P1_POA!$D$5:$D$200,MATCH(C7,P1_POA!$A$5:$A$200,0))</f>
        <v>Esp. Planificación, M&amp;S</v>
      </c>
      <c r="P7" s="48" t="n">
        <f aca="false">IF(K7&gt;G7,1,0)</f>
        <v>0</v>
      </c>
    </row>
    <row r="8" customFormat="false" ht="15" hidden="false" customHeight="false" outlineLevel="0" collapsed="false">
      <c r="A8" s="38" t="s">
        <v>644</v>
      </c>
      <c r="B8" s="38" t="s">
        <v>868</v>
      </c>
      <c r="C8" s="38" t="s">
        <v>363</v>
      </c>
      <c r="D8" s="17" t="str">
        <f aca="false">INDEX(P1_POA!$B$5:$B$200,MATCH(C8,P1_POA!$A$5:$A$200,0))</f>
        <v>C2</v>
      </c>
      <c r="E8" s="38" t="s">
        <v>927</v>
      </c>
      <c r="F8" s="39" t="s">
        <v>928</v>
      </c>
      <c r="G8" s="45" t="n">
        <v>58800</v>
      </c>
      <c r="H8" s="44" t="n">
        <v>46434</v>
      </c>
      <c r="I8" s="44" t="n">
        <v>46538</v>
      </c>
      <c r="J8" s="38" t="s">
        <v>616</v>
      </c>
      <c r="K8" s="46" t="n">
        <f aca="false">SUMIFS(F2_Ejecucion!$J$5:$J$500,F2_Ejecucion!$E$5:$E$500,A8)</f>
        <v>58800</v>
      </c>
      <c r="L8" s="46" t="n">
        <f aca="false">G8-K8</f>
        <v>0</v>
      </c>
      <c r="M8" s="41" t="n">
        <f aca="false">K8/G8</f>
        <v>1</v>
      </c>
      <c r="N8" s="17" t="str">
        <f aca="false">IF(I8&lt;Fecha_Corte,"Vencido",IF(I8-Fecha_Corte&lt;=Dias_Alerta,"Por vencer","Vigente"))</f>
        <v>Vencido</v>
      </c>
      <c r="O8" s="17" t="str">
        <f aca="false">INDEX(P1_POA!$D$5:$D$200,MATCH(C8,P1_POA!$A$5:$A$200,0))</f>
        <v>Esp. Social</v>
      </c>
      <c r="P8" s="48" t="n">
        <f aca="false">IF(K8&gt;G8,1,0)</f>
        <v>0</v>
      </c>
    </row>
    <row r="9" customFormat="false" ht="15" hidden="false" customHeight="false" outlineLevel="0" collapsed="false">
      <c r="A9" s="38" t="s">
        <v>709</v>
      </c>
      <c r="B9" s="38" t="s">
        <v>872</v>
      </c>
      <c r="C9" s="38" t="s">
        <v>372</v>
      </c>
      <c r="D9" s="17" t="str">
        <f aca="false">INDEX(P1_POA!$B$5:$B$200,MATCH(C9,P1_POA!$A$5:$A$200,0))</f>
        <v>C2</v>
      </c>
      <c r="E9" s="38" t="s">
        <v>929</v>
      </c>
      <c r="F9" s="39" t="s">
        <v>930</v>
      </c>
      <c r="G9" s="45" t="n">
        <v>395000</v>
      </c>
      <c r="H9" s="44" t="n">
        <v>46535</v>
      </c>
      <c r="I9" s="44" t="n">
        <v>46736</v>
      </c>
      <c r="J9" s="38" t="s">
        <v>616</v>
      </c>
      <c r="K9" s="46" t="n">
        <f aca="false">SUMIFS(F2_Ejecucion!$J$5:$J$500,F2_Ejecucion!$E$5:$E$500,A9)</f>
        <v>118500</v>
      </c>
      <c r="L9" s="46" t="n">
        <f aca="false">G9-K9</f>
        <v>276500</v>
      </c>
      <c r="M9" s="41" t="n">
        <f aca="false">K9/G9</f>
        <v>0.3</v>
      </c>
      <c r="N9" s="17" t="str">
        <f aca="false">IF(I9&lt;Fecha_Corte,"Vencido",IF(I9-Fecha_Corte&lt;=Dias_Alerta,"Por vencer","Vigente"))</f>
        <v>Vigente</v>
      </c>
      <c r="O9" s="17" t="str">
        <f aca="false">INDEX(P1_POA!$D$5:$D$200,MATCH(C9,P1_POA!$A$5:$A$200,0))</f>
        <v>Esp. Social</v>
      </c>
      <c r="P9" s="48" t="n">
        <f aca="false">IF(K9&gt;G9,1,0)</f>
        <v>0</v>
      </c>
    </row>
    <row r="10" customFormat="false" ht="15" hidden="false" customHeight="false" outlineLevel="0" collapsed="false">
      <c r="A10" s="38" t="s">
        <v>647</v>
      </c>
      <c r="B10" s="38" t="s">
        <v>877</v>
      </c>
      <c r="C10" s="38" t="s">
        <v>381</v>
      </c>
      <c r="D10" s="17" t="str">
        <f aca="false">INDEX(P1_POA!$B$5:$B$200,MATCH(C10,P1_POA!$A$5:$A$200,0))</f>
        <v>C3</v>
      </c>
      <c r="E10" s="38" t="s">
        <v>931</v>
      </c>
      <c r="F10" s="39" t="s">
        <v>382</v>
      </c>
      <c r="G10" s="45" t="n">
        <v>185000</v>
      </c>
      <c r="H10" s="44" t="n">
        <v>46482</v>
      </c>
      <c r="I10" s="44" t="n">
        <v>46553</v>
      </c>
      <c r="J10" s="38" t="s">
        <v>616</v>
      </c>
      <c r="K10" s="46" t="n">
        <f aca="false">SUMIFS(F2_Ejecucion!$J$5:$J$500,F2_Ejecucion!$E$5:$E$500,A10)</f>
        <v>185000</v>
      </c>
      <c r="L10" s="46" t="n">
        <f aca="false">G10-K10</f>
        <v>0</v>
      </c>
      <c r="M10" s="41" t="n">
        <f aca="false">K10/G10</f>
        <v>1</v>
      </c>
      <c r="N10" s="17" t="str">
        <f aca="false">IF(I10&lt;Fecha_Corte,"Vencido",IF(I10-Fecha_Corte&lt;=Dias_Alerta,"Por vencer","Vigente"))</f>
        <v>Vencido</v>
      </c>
      <c r="O10" s="17" t="str">
        <f aca="false">INDEX(P1_POA!$D$5:$D$200,MATCH(C10,P1_POA!$A$5:$A$200,0))</f>
        <v>Esp. Planificación, M&amp;S</v>
      </c>
      <c r="P10" s="48" t="n">
        <f aca="false">IF(K10&gt;G10,1,0)</f>
        <v>0</v>
      </c>
    </row>
    <row r="11" customFormat="false" ht="15" hidden="false" customHeight="false" outlineLevel="0" collapsed="false">
      <c r="A11" s="38" t="s">
        <v>712</v>
      </c>
      <c r="B11" s="38" t="s">
        <v>879</v>
      </c>
      <c r="C11" s="38" t="s">
        <v>384</v>
      </c>
      <c r="D11" s="17" t="str">
        <f aca="false">INDEX(P1_POA!$B$5:$B$200,MATCH(C11,P1_POA!$A$5:$A$200,0))</f>
        <v>C3</v>
      </c>
      <c r="E11" s="38" t="s">
        <v>932</v>
      </c>
      <c r="F11" s="39" t="s">
        <v>385</v>
      </c>
      <c r="G11" s="45" t="n">
        <v>68000</v>
      </c>
      <c r="H11" s="44" t="n">
        <v>46517</v>
      </c>
      <c r="I11" s="44" t="n">
        <v>46691</v>
      </c>
      <c r="J11" s="38" t="s">
        <v>616</v>
      </c>
      <c r="K11" s="46" t="n">
        <f aca="false">SUMIFS(F2_Ejecucion!$J$5:$J$500,F2_Ejecucion!$E$5:$E$500,A11)</f>
        <v>27200</v>
      </c>
      <c r="L11" s="46" t="n">
        <f aca="false">G11-K11</f>
        <v>40800</v>
      </c>
      <c r="M11" s="41" t="n">
        <f aca="false">K11/G11</f>
        <v>0.4</v>
      </c>
      <c r="N11" s="17" t="str">
        <f aca="false">IF(I11&lt;Fecha_Corte,"Vencido",IF(I11-Fecha_Corte&lt;=Dias_Alerta,"Por vencer","Vigente"))</f>
        <v>Vigente</v>
      </c>
      <c r="O11" s="17" t="str">
        <f aca="false">INDEX(P1_POA!$D$5:$D$200,MATCH(C11,P1_POA!$A$5:$A$200,0))</f>
        <v>Esp. Social</v>
      </c>
      <c r="P11" s="48" t="n">
        <f aca="false">IF(K11&gt;G11,1,0)</f>
        <v>0</v>
      </c>
    </row>
    <row r="12" customFormat="false" ht="15" hidden="false" customHeight="false" outlineLevel="0" collapsed="false">
      <c r="A12" s="38" t="s">
        <v>628</v>
      </c>
      <c r="B12" s="38" t="s">
        <v>881</v>
      </c>
      <c r="C12" s="38" t="s">
        <v>392</v>
      </c>
      <c r="D12" s="17" t="str">
        <f aca="false">INDEX(P1_POA!$B$5:$B$200,MATCH(C12,P1_POA!$A$5:$A$200,0))</f>
        <v>C4</v>
      </c>
      <c r="E12" s="38" t="s">
        <v>933</v>
      </c>
      <c r="F12" s="39" t="s">
        <v>934</v>
      </c>
      <c r="G12" s="45" t="n">
        <v>332000</v>
      </c>
      <c r="H12" s="44" t="n">
        <v>46462</v>
      </c>
      <c r="I12" s="44" t="n">
        <v>46538</v>
      </c>
      <c r="J12" s="38" t="s">
        <v>616</v>
      </c>
      <c r="K12" s="46" t="n">
        <f aca="false">SUMIFS(F2_Ejecucion!$J$5:$J$500,F2_Ejecucion!$E$5:$E$500,A12)</f>
        <v>332000</v>
      </c>
      <c r="L12" s="46" t="n">
        <f aca="false">G12-K12</f>
        <v>0</v>
      </c>
      <c r="M12" s="41" t="n">
        <f aca="false">K12/G12</f>
        <v>1</v>
      </c>
      <c r="N12" s="17" t="str">
        <f aca="false">IF(I12&lt;Fecha_Corte,"Vencido",IF(I12-Fecha_Corte&lt;=Dias_Alerta,"Por vencer","Vigente"))</f>
        <v>Vencido</v>
      </c>
      <c r="O12" s="17" t="str">
        <f aca="false">INDEX(P1_POA!$D$5:$D$200,MATCH(C12,P1_POA!$A$5:$A$200,0))</f>
        <v>Esp. Planificación, M&amp;S</v>
      </c>
      <c r="P12" s="48" t="n">
        <f aca="false">IF(K12&gt;G12,1,0)</f>
        <v>0</v>
      </c>
    </row>
    <row r="13" customFormat="false" ht="15" hidden="false" customHeight="false" outlineLevel="0" collapsed="false">
      <c r="A13" s="38" t="s">
        <v>663</v>
      </c>
      <c r="B13" s="38" t="s">
        <v>883</v>
      </c>
      <c r="C13" s="38" t="s">
        <v>395</v>
      </c>
      <c r="D13" s="17" t="str">
        <f aca="false">INDEX(P1_POA!$B$5:$B$200,MATCH(C13,P1_POA!$A$5:$A$200,0))</f>
        <v>C4</v>
      </c>
      <c r="E13" s="38" t="s">
        <v>935</v>
      </c>
      <c r="F13" s="39" t="s">
        <v>274</v>
      </c>
      <c r="G13" s="45" t="n">
        <v>871000</v>
      </c>
      <c r="H13" s="44" t="n">
        <v>46539</v>
      </c>
      <c r="I13" s="44" t="n">
        <v>46721</v>
      </c>
      <c r="J13" s="38" t="s">
        <v>656</v>
      </c>
      <c r="K13" s="46" t="n">
        <f aca="false">SUMIFS(F2_Ejecucion!$J$5:$J$500,F2_Ejecucion!$E$5:$E$500,A13)</f>
        <v>304850</v>
      </c>
      <c r="L13" s="46" t="n">
        <f aca="false">G13-K13</f>
        <v>566150</v>
      </c>
      <c r="M13" s="41" t="n">
        <f aca="false">K13/G13</f>
        <v>0.35</v>
      </c>
      <c r="N13" s="17" t="str">
        <f aca="false">IF(I13&lt;Fecha_Corte,"Vencido",IF(I13-Fecha_Corte&lt;=Dias_Alerta,"Por vencer","Vigente"))</f>
        <v>Vigente</v>
      </c>
      <c r="O13" s="17" t="str">
        <f aca="false">INDEX(P1_POA!$D$5:$D$200,MATCH(C13,P1_POA!$A$5:$A$200,0))</f>
        <v>Esp. Planificación, M&amp;S</v>
      </c>
      <c r="P13" s="48" t="n">
        <f aca="false">IF(K13&gt;G13,1,0)</f>
        <v>0</v>
      </c>
    </row>
    <row r="14" customFormat="false" ht="26.85" hidden="false" customHeight="false" outlineLevel="0" collapsed="false">
      <c r="A14" s="38" t="s">
        <v>612</v>
      </c>
      <c r="B14" s="38" t="s">
        <v>891</v>
      </c>
      <c r="C14" s="38" t="s">
        <v>403</v>
      </c>
      <c r="D14" s="17" t="str">
        <f aca="false">INDEX(P1_POA!$B$5:$B$200,MATCH(C14,P1_POA!$A$5:$A$200,0))</f>
        <v>C5</v>
      </c>
      <c r="E14" s="38" t="s">
        <v>936</v>
      </c>
      <c r="F14" s="39" t="s">
        <v>937</v>
      </c>
      <c r="G14" s="45" t="n">
        <v>50400</v>
      </c>
      <c r="H14" s="44" t="n">
        <v>46391</v>
      </c>
      <c r="I14" s="44" t="n">
        <v>46752</v>
      </c>
      <c r="J14" s="38" t="s">
        <v>616</v>
      </c>
      <c r="K14" s="46" t="n">
        <f aca="false">SUMIFS(F2_Ejecucion!$J$5:$J$500,F2_Ejecucion!$E$5:$E$500,A14)</f>
        <v>25200</v>
      </c>
      <c r="L14" s="46" t="n">
        <f aca="false">G14-K14</f>
        <v>25200</v>
      </c>
      <c r="M14" s="41" t="n">
        <f aca="false">K14/G14</f>
        <v>0.5</v>
      </c>
      <c r="N14" s="17" t="str">
        <f aca="false">IF(I14&lt;Fecha_Corte,"Vencido",IF(I14-Fecha_Corte&lt;=Dias_Alerta,"Por vencer","Vigente"))</f>
        <v>Vigente</v>
      </c>
      <c r="O14" s="17" t="str">
        <f aca="false">INDEX(P1_POA!$D$5:$D$200,MATCH(C14,P1_POA!$A$5:$A$200,0))</f>
        <v>Coordinador General</v>
      </c>
      <c r="P14" s="48" t="n">
        <f aca="false">IF(K14&gt;G14,1,0)</f>
        <v>0</v>
      </c>
    </row>
    <row r="15" customFormat="false" ht="15" hidden="false" customHeight="false" outlineLevel="0" collapsed="false">
      <c r="A15" s="38" t="s">
        <v>623</v>
      </c>
      <c r="B15" s="38" t="s">
        <v>893</v>
      </c>
      <c r="C15" s="38" t="s">
        <v>403</v>
      </c>
      <c r="D15" s="17" t="str">
        <f aca="false">INDEX(P1_POA!$B$5:$B$200,MATCH(C15,P1_POA!$A$5:$A$200,0))</f>
        <v>C5</v>
      </c>
      <c r="E15" s="38" t="s">
        <v>894</v>
      </c>
      <c r="F15" s="39" t="s">
        <v>938</v>
      </c>
      <c r="G15" s="45" t="n">
        <v>48000</v>
      </c>
      <c r="H15" s="44" t="n">
        <v>46398</v>
      </c>
      <c r="I15" s="44" t="n">
        <v>46752</v>
      </c>
      <c r="J15" s="38" t="s">
        <v>616</v>
      </c>
      <c r="K15" s="46" t="n">
        <f aca="false">SUMIFS(F2_Ejecucion!$J$5:$J$500,F2_Ejecucion!$E$5:$E$500,A15)</f>
        <v>24000</v>
      </c>
      <c r="L15" s="46" t="n">
        <f aca="false">G15-K15</f>
        <v>24000</v>
      </c>
      <c r="M15" s="41" t="n">
        <f aca="false">K15/G15</f>
        <v>0.5</v>
      </c>
      <c r="N15" s="17" t="str">
        <f aca="false">IF(I15&lt;Fecha_Corte,"Vencido",IF(I15-Fecha_Corte&lt;=Dias_Alerta,"Por vencer","Vigente"))</f>
        <v>Vigente</v>
      </c>
      <c r="O15" s="17" t="str">
        <f aca="false">INDEX(P1_POA!$D$5:$D$200,MATCH(C15,P1_POA!$A$5:$A$200,0))</f>
        <v>Coordinador General</v>
      </c>
      <c r="P15" s="48" t="n">
        <f aca="false">IF(K15&gt;G15,1,0)</f>
        <v>0</v>
      </c>
    </row>
    <row r="16" customFormat="false" ht="15" hidden="false" customHeight="false" outlineLevel="0" collapsed="false">
      <c r="A16" s="38" t="s">
        <v>636</v>
      </c>
      <c r="B16" s="38" t="s">
        <v>895</v>
      </c>
      <c r="C16" s="38" t="s">
        <v>403</v>
      </c>
      <c r="D16" s="17" t="str">
        <f aca="false">INDEX(P1_POA!$B$5:$B$200,MATCH(C16,P1_POA!$A$5:$A$200,0))</f>
        <v>C5</v>
      </c>
      <c r="E16" s="38" t="s">
        <v>896</v>
      </c>
      <c r="F16" s="39" t="s">
        <v>938</v>
      </c>
      <c r="G16" s="45" t="n">
        <v>48000</v>
      </c>
      <c r="H16" s="44" t="n">
        <v>46398</v>
      </c>
      <c r="I16" s="44" t="n">
        <v>46752</v>
      </c>
      <c r="J16" s="38" t="s">
        <v>616</v>
      </c>
      <c r="K16" s="46" t="n">
        <f aca="false">SUMIFS(F2_Ejecucion!$J$5:$J$500,F2_Ejecucion!$E$5:$E$500,A16)</f>
        <v>24000</v>
      </c>
      <c r="L16" s="46" t="n">
        <f aca="false">G16-K16</f>
        <v>24000</v>
      </c>
      <c r="M16" s="41" t="n">
        <f aca="false">K16/G16</f>
        <v>0.5</v>
      </c>
      <c r="N16" s="17" t="str">
        <f aca="false">IF(I16&lt;Fecha_Corte,"Vencido",IF(I16-Fecha_Corte&lt;=Dias_Alerta,"Por vencer","Vigente"))</f>
        <v>Vigente</v>
      </c>
      <c r="O16" s="17" t="str">
        <f aca="false">INDEX(P1_POA!$D$5:$D$200,MATCH(C16,P1_POA!$A$5:$A$200,0))</f>
        <v>Coordinador General</v>
      </c>
      <c r="P16" s="48" t="n">
        <f aca="false">IF(K16&gt;G16,1,0)</f>
        <v>0</v>
      </c>
    </row>
    <row r="17" customFormat="false" ht="15" hidden="false" customHeight="false" outlineLevel="0" collapsed="false">
      <c r="A17" s="38" t="s">
        <v>666</v>
      </c>
      <c r="B17" s="38" t="s">
        <v>897</v>
      </c>
      <c r="C17" s="38" t="s">
        <v>403</v>
      </c>
      <c r="D17" s="17" t="str">
        <f aca="false">INDEX(P1_POA!$B$5:$B$200,MATCH(C17,P1_POA!$A$5:$A$200,0))</f>
        <v>C5</v>
      </c>
      <c r="E17" s="38" t="s">
        <v>276</v>
      </c>
      <c r="F17" s="39" t="s">
        <v>938</v>
      </c>
      <c r="G17" s="45" t="n">
        <v>48000</v>
      </c>
      <c r="H17" s="44" t="n">
        <v>46405</v>
      </c>
      <c r="I17" s="44" t="n">
        <v>46752</v>
      </c>
      <c r="J17" s="38" t="s">
        <v>616</v>
      </c>
      <c r="K17" s="46" t="n">
        <f aca="false">SUMIFS(F2_Ejecucion!$J$5:$J$500,F2_Ejecucion!$E$5:$E$500,A17)</f>
        <v>24000</v>
      </c>
      <c r="L17" s="46" t="n">
        <f aca="false">G17-K17</f>
        <v>24000</v>
      </c>
      <c r="M17" s="41" t="n">
        <f aca="false">K17/G17</f>
        <v>0.5</v>
      </c>
      <c r="N17" s="17" t="str">
        <f aca="false">IF(I17&lt;Fecha_Corte,"Vencido",IF(I17-Fecha_Corte&lt;=Dias_Alerta,"Por vencer","Vigente"))</f>
        <v>Vigente</v>
      </c>
      <c r="O17" s="17" t="str">
        <f aca="false">INDEX(P1_POA!$D$5:$D$200,MATCH(C17,P1_POA!$A$5:$A$200,0))</f>
        <v>Coordinador General</v>
      </c>
      <c r="P17" s="48" t="n">
        <f aca="false">IF(K17&gt;G17,1,0)</f>
        <v>0</v>
      </c>
    </row>
    <row r="18" customFormat="false" ht="15" hidden="false" customHeight="false" outlineLevel="0" collapsed="false">
      <c r="A18" s="38" t="s">
        <v>697</v>
      </c>
      <c r="B18" s="38" t="s">
        <v>899</v>
      </c>
      <c r="C18" s="38" t="s">
        <v>403</v>
      </c>
      <c r="D18" s="17" t="str">
        <f aca="false">INDEX(P1_POA!$B$5:$B$200,MATCH(C18,P1_POA!$A$5:$A$200,0))</f>
        <v>C5</v>
      </c>
      <c r="E18" s="38" t="s">
        <v>900</v>
      </c>
      <c r="F18" s="39" t="s">
        <v>938</v>
      </c>
      <c r="G18" s="45" t="n">
        <v>48000</v>
      </c>
      <c r="H18" s="44" t="n">
        <v>46405</v>
      </c>
      <c r="I18" s="44" t="n">
        <v>46752</v>
      </c>
      <c r="J18" s="38" t="s">
        <v>616</v>
      </c>
      <c r="K18" s="46" t="n">
        <f aca="false">SUMIFS(F2_Ejecucion!$J$5:$J$500,F2_Ejecucion!$E$5:$E$500,A18)</f>
        <v>24000</v>
      </c>
      <c r="L18" s="46" t="n">
        <f aca="false">G18-K18</f>
        <v>24000</v>
      </c>
      <c r="M18" s="41" t="n">
        <f aca="false">K18/G18</f>
        <v>0.5</v>
      </c>
      <c r="N18" s="17" t="str">
        <f aca="false">IF(I18&lt;Fecha_Corte,"Vencido",IF(I18-Fecha_Corte&lt;=Dias_Alerta,"Por vencer","Vigente"))</f>
        <v>Vigente</v>
      </c>
      <c r="O18" s="17" t="str">
        <f aca="false">INDEX(P1_POA!$D$5:$D$200,MATCH(C18,P1_POA!$A$5:$A$200,0))</f>
        <v>Coordinador General</v>
      </c>
      <c r="P18" s="48" t="n">
        <f aca="false">IF(K18&gt;G18,1,0)</f>
        <v>0</v>
      </c>
    </row>
    <row r="19" customFormat="false" ht="15" hidden="false" customHeight="false" outlineLevel="0" collapsed="false">
      <c r="A19" s="38" t="s">
        <v>633</v>
      </c>
      <c r="B19" s="38" t="s">
        <v>903</v>
      </c>
      <c r="C19" s="38" t="s">
        <v>406</v>
      </c>
      <c r="D19" s="17" t="str">
        <f aca="false">INDEX(P1_POA!$B$5:$B$200,MATCH(C19,P1_POA!$A$5:$A$200,0))</f>
        <v>C5</v>
      </c>
      <c r="E19" s="38" t="s">
        <v>939</v>
      </c>
      <c r="F19" s="39" t="s">
        <v>940</v>
      </c>
      <c r="G19" s="45" t="n">
        <v>146000</v>
      </c>
      <c r="H19" s="44" t="n">
        <v>46471</v>
      </c>
      <c r="I19" s="44" t="n">
        <v>46583</v>
      </c>
      <c r="J19" s="38" t="s">
        <v>616</v>
      </c>
      <c r="K19" s="46" t="n">
        <f aca="false">SUMIFS(F2_Ejecucion!$J$5:$J$500,F2_Ejecucion!$E$5:$E$500,A19)</f>
        <v>102200</v>
      </c>
      <c r="L19" s="46" t="n">
        <f aca="false">G19-K19</f>
        <v>43800</v>
      </c>
      <c r="M19" s="41" t="n">
        <f aca="false">K19/G19</f>
        <v>0.7</v>
      </c>
      <c r="N19" s="17" t="str">
        <f aca="false">IF(I19&lt;Fecha_Corte,"Vencido",IF(I19-Fecha_Corte&lt;=Dias_Alerta,"Por vencer","Vigente"))</f>
        <v>Por vencer</v>
      </c>
      <c r="O19" s="17" t="str">
        <f aca="false">INDEX(P1_POA!$D$5:$D$200,MATCH(C19,P1_POA!$A$5:$A$200,0))</f>
        <v>Esp. Planificación, M&amp;S</v>
      </c>
      <c r="P19" s="48" t="n">
        <f aca="false">IF(K19&gt;G19,1,0)</f>
        <v>0</v>
      </c>
    </row>
    <row r="20" customFormat="false" ht="15" hidden="false" customHeight="false" outlineLevel="0" collapsed="false">
      <c r="A20" s="38" t="s">
        <v>650</v>
      </c>
      <c r="B20" s="38" t="s">
        <v>905</v>
      </c>
      <c r="C20" s="38" t="s">
        <v>412</v>
      </c>
      <c r="D20" s="17" t="str">
        <f aca="false">INDEX(P1_POA!$B$5:$B$200,MATCH(C20,P1_POA!$A$5:$A$200,0))</f>
        <v>C5</v>
      </c>
      <c r="E20" s="38" t="s">
        <v>941</v>
      </c>
      <c r="F20" s="39" t="s">
        <v>942</v>
      </c>
      <c r="G20" s="45" t="n">
        <v>36000</v>
      </c>
      <c r="H20" s="44" t="n">
        <v>46447</v>
      </c>
      <c r="I20" s="44" t="n">
        <v>46736</v>
      </c>
      <c r="J20" s="38" t="s">
        <v>616</v>
      </c>
      <c r="K20" s="46" t="n">
        <f aca="false">SUMIFS(F2_Ejecucion!$J$5:$J$500,F2_Ejecucion!$E$5:$E$500,A20)</f>
        <v>18000</v>
      </c>
      <c r="L20" s="46" t="n">
        <f aca="false">G20-K20</f>
        <v>18000</v>
      </c>
      <c r="M20" s="41" t="n">
        <f aca="false">K20/G20</f>
        <v>0.5</v>
      </c>
      <c r="N20" s="17" t="str">
        <f aca="false">IF(I20&lt;Fecha_Corte,"Vencido",IF(I20-Fecha_Corte&lt;=Dias_Alerta,"Por vencer","Vigente"))</f>
        <v>Vigente</v>
      </c>
      <c r="O20" s="17" t="str">
        <f aca="false">INDEX(P1_POA!$D$5:$D$200,MATCH(C20,P1_POA!$A$5:$A$200,0))</f>
        <v>Esp. Social</v>
      </c>
      <c r="P20" s="48" t="n">
        <f aca="false">IF(K20&gt;G20,1,0)</f>
        <v>0</v>
      </c>
    </row>
  </sheetData>
  <autoFilter ref="A4:P20"/>
  <conditionalFormatting sqref="N5:N500">
    <cfRule type="cellIs" priority="2" operator="equal" aboveAverage="0" equalAverage="0" bottom="0" percent="0" rank="0" text="" dxfId="0">
      <formula>"Vigente"</formula>
    </cfRule>
    <cfRule type="cellIs" priority="3" operator="equal" aboveAverage="0" equalAverage="0" bottom="0" percent="0" rank="0" text="" dxfId="1">
      <formula>"Por vencer"</formula>
    </cfRule>
    <cfRule type="cellIs" priority="4" operator="equal" aboveAverage="0" equalAverage="0" bottom="0" percent="0" rank="0" text="" dxfId="2">
      <formula>"Vencido"</formula>
    </cfRule>
  </conditionalFormatting>
  <dataValidations count="1">
    <dataValidation allowBlank="true" error="Valor no válido" errorStyle="stop" errorTitle="Seleccione un valor de la lista" operator="between" showDropDown="false" showErrorMessage="false" showInputMessage="false" sqref="J5:J500" type="list">
      <formula1>Listas!$D$5:$D$7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2" min="11" style="0" width="9"/>
  </cols>
  <sheetData>
    <row r="1" customFormat="false" ht="24" hidden="false" customHeight="true" outlineLevel="0" collapsed="false">
      <c r="A1" s="1" t="s">
        <v>943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944</v>
      </c>
    </row>
    <row r="4" customFormat="false" ht="33.75" hidden="false" customHeight="true" outlineLevel="0" collapsed="false">
      <c r="A4" s="14" t="s">
        <v>253</v>
      </c>
      <c r="B4" s="14" t="s">
        <v>945</v>
      </c>
      <c r="C4" s="14" t="s">
        <v>946</v>
      </c>
      <c r="D4" s="14" t="s">
        <v>947</v>
      </c>
      <c r="E4" s="14" t="s">
        <v>948</v>
      </c>
      <c r="F4" s="14" t="s">
        <v>949</v>
      </c>
      <c r="G4" s="14" t="s">
        <v>233</v>
      </c>
      <c r="H4" s="14" t="s">
        <v>950</v>
      </c>
      <c r="I4" s="14" t="s">
        <v>856</v>
      </c>
      <c r="J4" s="14" t="s">
        <v>951</v>
      </c>
      <c r="K4" s="14" t="s">
        <v>952</v>
      </c>
      <c r="L4" s="14" t="s">
        <v>953</v>
      </c>
    </row>
    <row r="5" customFormat="false" ht="26.85" hidden="false" customHeight="false" outlineLevel="0" collapsed="false">
      <c r="A5" s="38" t="s">
        <v>954</v>
      </c>
      <c r="B5" s="39" t="s">
        <v>955</v>
      </c>
      <c r="C5" s="38" t="s">
        <v>956</v>
      </c>
      <c r="D5" s="39" t="s">
        <v>957</v>
      </c>
      <c r="E5" s="44" t="n">
        <v>46752</v>
      </c>
      <c r="F5" s="44" t="n">
        <f aca="false">E5+Plazo_EEFF</f>
        <v>46872</v>
      </c>
      <c r="G5" s="38" t="s">
        <v>958</v>
      </c>
      <c r="H5" s="48" t="n">
        <f aca="false">IF(G5="Cerrada","",F5-Fecha_Corte)</f>
        <v>304</v>
      </c>
      <c r="I5" s="17" t="str">
        <f aca="false">IF(G5="Cerrada","Cerrada",IF(F5&lt;Fecha_Corte,"Vencida",IF(F5-Fecha_Corte&lt;=Dias_Alerta,"Próxima","En plazo")))</f>
        <v>En plazo</v>
      </c>
      <c r="J5" s="48" t="n">
        <f aca="false">COUNTIFS($B$14:$B$100,A5)</f>
        <v>0</v>
      </c>
      <c r="K5" s="48" t="n">
        <f aca="false">COUNTIFS($B$14:$B$100,A5,$H$14:$H$100,"Cerrada")</f>
        <v>0</v>
      </c>
      <c r="L5" s="41" t="str">
        <f aca="false">IF(J5=0,"",K5/J5)</f>
        <v/>
      </c>
    </row>
    <row r="6" customFormat="false" ht="26.85" hidden="false" customHeight="false" outlineLevel="0" collapsed="false">
      <c r="A6" s="38" t="s">
        <v>959</v>
      </c>
      <c r="B6" s="39" t="s">
        <v>960</v>
      </c>
      <c r="C6" s="38" t="s">
        <v>956</v>
      </c>
      <c r="D6" s="39" t="s">
        <v>961</v>
      </c>
      <c r="E6" s="44" t="n">
        <v>46721</v>
      </c>
      <c r="F6" s="44" t="n">
        <v>46736</v>
      </c>
      <c r="G6" s="38" t="s">
        <v>958</v>
      </c>
      <c r="H6" s="48" t="n">
        <f aca="false">IF(G6="Cerrada","",F6-Fecha_Corte)</f>
        <v>168</v>
      </c>
      <c r="I6" s="17" t="str">
        <f aca="false">IF(G6="Cerrada","Cerrada",IF(F6&lt;Fecha_Corte,"Vencida",IF(F6-Fecha_Corte&lt;=Dias_Alerta,"Próxima","En plazo")))</f>
        <v>En plazo</v>
      </c>
      <c r="J6" s="48" t="n">
        <f aca="false">COUNTIFS($B$14:$B$100,A6)</f>
        <v>0</v>
      </c>
      <c r="K6" s="48" t="n">
        <f aca="false">COUNTIFS($B$14:$B$100,A6,$H$14:$H$100,"Cerrada")</f>
        <v>0</v>
      </c>
      <c r="L6" s="41" t="str">
        <f aca="false">IF(J6=0,"",K6/J6)</f>
        <v/>
      </c>
    </row>
    <row r="7" customFormat="false" ht="26.85" hidden="false" customHeight="false" outlineLevel="0" collapsed="false">
      <c r="A7" s="38" t="s">
        <v>962</v>
      </c>
      <c r="B7" s="39" t="s">
        <v>963</v>
      </c>
      <c r="C7" s="38" t="s">
        <v>964</v>
      </c>
      <c r="D7" s="39" t="s">
        <v>965</v>
      </c>
      <c r="E7" s="44" t="n">
        <v>46568</v>
      </c>
      <c r="F7" s="44" t="n">
        <v>46599</v>
      </c>
      <c r="G7" s="38" t="s">
        <v>966</v>
      </c>
      <c r="H7" s="48" t="n">
        <f aca="false">IF(G7="Cerrada","",F7-Fecha_Corte)</f>
        <v>31</v>
      </c>
      <c r="I7" s="17" t="str">
        <f aca="false">IF(G7="Cerrada","Cerrada",IF(F7&lt;Fecha_Corte,"Vencida",IF(F7-Fecha_Corte&lt;=Dias_Alerta,"Próxima","En plazo")))</f>
        <v>En plazo</v>
      </c>
      <c r="J7" s="48" t="n">
        <f aca="false">COUNTIFS($B$14:$B$100,A7)</f>
        <v>1</v>
      </c>
      <c r="K7" s="48" t="n">
        <f aca="false">COUNTIFS($B$14:$B$100,A7,$H$14:$H$100,"Cerrada")</f>
        <v>0</v>
      </c>
      <c r="L7" s="41" t="n">
        <f aca="false">IF(J7=0,"",K7/J7)</f>
        <v>0</v>
      </c>
    </row>
    <row r="8" customFormat="false" ht="26.85" hidden="false" customHeight="false" outlineLevel="0" collapsed="false">
      <c r="A8" s="38" t="s">
        <v>967</v>
      </c>
      <c r="B8" s="39" t="s">
        <v>968</v>
      </c>
      <c r="C8" s="38" t="s">
        <v>969</v>
      </c>
      <c r="D8" s="39" t="s">
        <v>965</v>
      </c>
      <c r="E8" s="44" t="n">
        <v>46477</v>
      </c>
      <c r="F8" s="44" t="n">
        <v>46507</v>
      </c>
      <c r="G8" s="38" t="s">
        <v>970</v>
      </c>
      <c r="H8" s="48" t="n">
        <f aca="false">IF(G8="Cerrada","",F8-Fecha_Corte)</f>
        <v>-61</v>
      </c>
      <c r="I8" s="17" t="str">
        <f aca="false">IF(G8="Cerrada","Cerrada",IF(F8&lt;Fecha_Corte,"Vencida",IF(F8-Fecha_Corte&lt;=Dias_Alerta,"Próxima","En plazo")))</f>
        <v>Vencida</v>
      </c>
      <c r="J8" s="48" t="n">
        <f aca="false">COUNTIFS($B$14:$B$100,A8)</f>
        <v>4</v>
      </c>
      <c r="K8" s="48" t="n">
        <f aca="false">COUNTIFS($B$14:$B$100,A8,$H$14:$H$100,"Cerrada")</f>
        <v>3</v>
      </c>
      <c r="L8" s="41" t="n">
        <f aca="false">IF(J8=0,"",K8/J8)</f>
        <v>0.75</v>
      </c>
    </row>
    <row r="12" customFormat="false" ht="15" hidden="false" customHeight="false" outlineLevel="0" collapsed="false">
      <c r="A12" s="21" t="s">
        <v>971</v>
      </c>
    </row>
    <row r="13" customFormat="false" ht="33.75" hidden="false" customHeight="true" outlineLevel="0" collapsed="false">
      <c r="A13" s="14" t="s">
        <v>972</v>
      </c>
      <c r="B13" s="14" t="s">
        <v>973</v>
      </c>
      <c r="C13" s="14" t="s">
        <v>974</v>
      </c>
      <c r="D13" s="14" t="s">
        <v>441</v>
      </c>
      <c r="E13" s="14" t="s">
        <v>269</v>
      </c>
      <c r="F13" s="14" t="s">
        <v>975</v>
      </c>
      <c r="G13" s="14" t="s">
        <v>976</v>
      </c>
      <c r="H13" s="14" t="s">
        <v>233</v>
      </c>
      <c r="I13" s="14" t="s">
        <v>977</v>
      </c>
    </row>
    <row r="14" customFormat="false" ht="26.85" hidden="false" customHeight="false" outlineLevel="0" collapsed="false">
      <c r="A14" s="38" t="s">
        <v>978</v>
      </c>
      <c r="B14" s="38" t="s">
        <v>967</v>
      </c>
      <c r="C14" s="39" t="s">
        <v>979</v>
      </c>
      <c r="D14" s="38" t="s">
        <v>980</v>
      </c>
      <c r="E14" s="38" t="s">
        <v>29</v>
      </c>
      <c r="F14" s="44" t="n">
        <v>46522</v>
      </c>
      <c r="G14" s="44" t="n">
        <v>46517</v>
      </c>
      <c r="H14" s="38" t="s">
        <v>981</v>
      </c>
      <c r="I14" s="48" t="n">
        <f aca="false">IF(H14="Cerrada",0,MAX(0,Fecha_Corte-F14))</f>
        <v>0</v>
      </c>
    </row>
    <row r="15" customFormat="false" ht="26.85" hidden="false" customHeight="false" outlineLevel="0" collapsed="false">
      <c r="A15" s="38" t="s">
        <v>982</v>
      </c>
      <c r="B15" s="38" t="s">
        <v>967</v>
      </c>
      <c r="C15" s="39" t="s">
        <v>983</v>
      </c>
      <c r="D15" s="38" t="s">
        <v>980</v>
      </c>
      <c r="E15" s="38" t="s">
        <v>62</v>
      </c>
      <c r="F15" s="44" t="n">
        <v>46538</v>
      </c>
      <c r="G15" s="44" t="n">
        <v>46535</v>
      </c>
      <c r="H15" s="38" t="s">
        <v>981</v>
      </c>
      <c r="I15" s="48" t="n">
        <f aca="false">IF(H15="Cerrada",0,MAX(0,Fecha_Corte-F15))</f>
        <v>0</v>
      </c>
    </row>
    <row r="16" customFormat="false" ht="15" hidden="false" customHeight="false" outlineLevel="0" collapsed="false">
      <c r="A16" s="38" t="s">
        <v>984</v>
      </c>
      <c r="B16" s="38" t="s">
        <v>967</v>
      </c>
      <c r="C16" s="39" t="s">
        <v>985</v>
      </c>
      <c r="D16" s="38" t="s">
        <v>986</v>
      </c>
      <c r="E16" s="38" t="s">
        <v>50</v>
      </c>
      <c r="F16" s="44" t="n">
        <v>46522</v>
      </c>
      <c r="G16" s="44" t="n">
        <v>46521</v>
      </c>
      <c r="H16" s="38" t="s">
        <v>981</v>
      </c>
      <c r="I16" s="48" t="n">
        <f aca="false">IF(H16="Cerrada",0,MAX(0,Fecha_Corte-F16))</f>
        <v>0</v>
      </c>
    </row>
    <row r="17" customFormat="false" ht="26.85" hidden="false" customHeight="false" outlineLevel="0" collapsed="false">
      <c r="A17" s="38" t="s">
        <v>987</v>
      </c>
      <c r="B17" s="38" t="s">
        <v>967</v>
      </c>
      <c r="C17" s="39" t="s">
        <v>988</v>
      </c>
      <c r="D17" s="38" t="s">
        <v>980</v>
      </c>
      <c r="E17" s="38" t="s">
        <v>50</v>
      </c>
      <c r="F17" s="44" t="n">
        <v>46553</v>
      </c>
      <c r="G17" s="44"/>
      <c r="H17" s="38" t="s">
        <v>989</v>
      </c>
      <c r="I17" s="48" t="n">
        <f aca="false">IF(H17="Cerrada",0,MAX(0,Fecha_Corte-F17))</f>
        <v>15</v>
      </c>
    </row>
    <row r="18" customFormat="false" ht="26.85" hidden="false" customHeight="false" outlineLevel="0" collapsed="false">
      <c r="A18" s="38" t="s">
        <v>990</v>
      </c>
      <c r="B18" s="38" t="s">
        <v>962</v>
      </c>
      <c r="C18" s="39" t="s">
        <v>991</v>
      </c>
      <c r="D18" s="38" t="s">
        <v>986</v>
      </c>
      <c r="E18" s="38" t="s">
        <v>46</v>
      </c>
      <c r="F18" s="44" t="n">
        <v>46583</v>
      </c>
      <c r="G18" s="44"/>
      <c r="H18" s="38" t="s">
        <v>992</v>
      </c>
      <c r="I18" s="48" t="n">
        <f aca="false">IF(H18="Cerrada",0,MAX(0,Fecha_Corte-F18))</f>
        <v>0</v>
      </c>
    </row>
  </sheetData>
  <conditionalFormatting sqref="I5:I25">
    <cfRule type="cellIs" priority="2" operator="equal" aboveAverage="0" equalAverage="0" bottom="0" percent="0" rank="0" text="" dxfId="0">
      <formula>"En plazo"</formula>
    </cfRule>
    <cfRule type="cellIs" priority="3" operator="equal" aboveAverage="0" equalAverage="0" bottom="0" percent="0" rank="0" text="" dxfId="1">
      <formula>"Próxima"</formula>
    </cfRule>
    <cfRule type="cellIs" priority="4" operator="equal" aboveAverage="0" equalAverage="0" bottom="0" percent="0" rank="0" text="" dxfId="2">
      <formula>"Vencida"</formula>
    </cfRule>
  </conditionalFormatting>
  <dataValidations count="3">
    <dataValidation allowBlank="true" error="Valor no válido" errorStyle="stop" errorTitle="Seleccione un valor de la lista" operator="between" showDropDown="false" showErrorMessage="false" showInputMessage="false" sqref="G5:G25" type="list">
      <formula1>Listas!$X$5:$X$8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H14:H100" type="list">
      <formula1>Listas!$Y$5:$Y$7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D14:D100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18"/>
    <col collapsed="false" customWidth="true" hidden="false" outlineLevel="0" max="7" min="5" style="0" width="12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3"/>
    <col collapsed="false" customWidth="true" hidden="false" outlineLevel="0" max="14" min="14" style="0" width="46"/>
    <col collapsed="false" customWidth="true" hidden="false" outlineLevel="0" max="15" min="15" style="0" width="12"/>
  </cols>
  <sheetData>
    <row r="1" customFormat="false" ht="24" hidden="false" customHeight="true" outlineLevel="0" collapsed="false">
      <c r="A1" s="1" t="s">
        <v>993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994</v>
      </c>
    </row>
    <row r="4" customFormat="false" ht="39.75" hidden="false" customHeight="true" outlineLevel="0" collapsed="false">
      <c r="A4" s="14" t="s">
        <v>253</v>
      </c>
      <c r="B4" s="14" t="s">
        <v>995</v>
      </c>
      <c r="C4" s="14" t="s">
        <v>996</v>
      </c>
      <c r="D4" s="14" t="s">
        <v>997</v>
      </c>
      <c r="E4" s="14" t="s">
        <v>21</v>
      </c>
      <c r="F4" s="14" t="s">
        <v>448</v>
      </c>
      <c r="G4" s="14" t="s">
        <v>233</v>
      </c>
      <c r="H4" s="14" t="s">
        <v>269</v>
      </c>
      <c r="I4" s="14" t="s">
        <v>998</v>
      </c>
      <c r="J4" s="14" t="s">
        <v>950</v>
      </c>
      <c r="K4" s="14" t="s">
        <v>856</v>
      </c>
      <c r="L4" s="14" t="s">
        <v>999</v>
      </c>
      <c r="N4" s="9" t="s">
        <v>1000</v>
      </c>
      <c r="O4" s="9" t="s">
        <v>93</v>
      </c>
    </row>
    <row r="5" customFormat="false" ht="26.85" hidden="false" customHeight="false" outlineLevel="0" collapsed="false">
      <c r="A5" s="38" t="s">
        <v>1001</v>
      </c>
      <c r="B5" s="38" t="s">
        <v>1002</v>
      </c>
      <c r="C5" s="39" t="s">
        <v>1003</v>
      </c>
      <c r="D5" s="39" t="s">
        <v>1004</v>
      </c>
      <c r="E5" s="38" t="s">
        <v>1005</v>
      </c>
      <c r="F5" s="44" t="n">
        <v>46423</v>
      </c>
      <c r="G5" s="38" t="s">
        <v>1006</v>
      </c>
      <c r="H5" s="38" t="s">
        <v>29</v>
      </c>
      <c r="I5" s="38" t="s">
        <v>1007</v>
      </c>
      <c r="J5" s="48" t="str">
        <f aca="false">IF(OR(G5="Cumplida",F5=""),"",F5-Fecha_Corte)</f>
        <v/>
      </c>
      <c r="K5" s="17" t="str">
        <f aca="false">IF(G5="Cumplida","Cumplida",IF(F5="","Por evento",IF(F5&lt;Fecha_Corte,"Vencida",IF(F5-Fecha_Corte&lt;=Dias_Alerta,"Próxima a vencer","En plazo"))))</f>
        <v>Cumplida</v>
      </c>
      <c r="L5" s="48" t="n">
        <f aca="false">IF(AND(F5&lt;&gt;"",F5&lt;=Fecha_Corte),1,0)</f>
        <v>1</v>
      </c>
      <c r="N5" s="59" t="s">
        <v>1008</v>
      </c>
      <c r="O5" s="66" t="n">
        <f aca="false">COUNTIF($A$5:$A$200,"N-*")</f>
        <v>19</v>
      </c>
    </row>
    <row r="6" customFormat="false" ht="26.85" hidden="false" customHeight="false" outlineLevel="0" collapsed="false">
      <c r="A6" s="38" t="s">
        <v>1009</v>
      </c>
      <c r="B6" s="38" t="s">
        <v>1010</v>
      </c>
      <c r="C6" s="39" t="s">
        <v>1011</v>
      </c>
      <c r="D6" s="39" t="s">
        <v>1004</v>
      </c>
      <c r="E6" s="38" t="s">
        <v>1005</v>
      </c>
      <c r="F6" s="44" t="n">
        <v>46418</v>
      </c>
      <c r="G6" s="38" t="s">
        <v>1006</v>
      </c>
      <c r="H6" s="38" t="s">
        <v>29</v>
      </c>
      <c r="I6" s="38" t="s">
        <v>1012</v>
      </c>
      <c r="J6" s="48" t="str">
        <f aca="false">IF(OR(G6="Cumplida",F6=""),"",F6-Fecha_Corte)</f>
        <v/>
      </c>
      <c r="K6" s="17" t="str">
        <f aca="false">IF(G6="Cumplida","Cumplida",IF(F6="","Por evento",IF(F6&lt;Fecha_Corte,"Vencida",IF(F6-Fecha_Corte&lt;=Dias_Alerta,"Próxima a vencer","En plazo"))))</f>
        <v>Cumplida</v>
      </c>
      <c r="L6" s="48" t="n">
        <f aca="false">IF(AND(F6&lt;&gt;"",F6&lt;=Fecha_Corte),1,0)</f>
        <v>1</v>
      </c>
      <c r="N6" s="59" t="s">
        <v>1013</v>
      </c>
      <c r="O6" s="66" t="n">
        <f aca="false">COUNTIFS($F$5:$F$200,"&lt;="&amp;Fecha_Corte)</f>
        <v>9</v>
      </c>
    </row>
    <row r="7" customFormat="false" ht="26.85" hidden="false" customHeight="false" outlineLevel="0" collapsed="false">
      <c r="A7" s="38" t="s">
        <v>1014</v>
      </c>
      <c r="B7" s="38" t="s">
        <v>1002</v>
      </c>
      <c r="C7" s="39" t="s">
        <v>1015</v>
      </c>
      <c r="D7" s="39" t="s">
        <v>1004</v>
      </c>
      <c r="E7" s="38" t="s">
        <v>1005</v>
      </c>
      <c r="F7" s="44" t="n">
        <v>46423</v>
      </c>
      <c r="G7" s="38" t="s">
        <v>1006</v>
      </c>
      <c r="H7" s="38" t="s">
        <v>50</v>
      </c>
      <c r="I7" s="38" t="s">
        <v>1016</v>
      </c>
      <c r="J7" s="48" t="str">
        <f aca="false">IF(OR(G7="Cumplida",F7=""),"",F7-Fecha_Corte)</f>
        <v/>
      </c>
      <c r="K7" s="17" t="str">
        <f aca="false">IF(G7="Cumplida","Cumplida",IF(F7="","Por evento",IF(F7&lt;Fecha_Corte,"Vencida",IF(F7-Fecha_Corte&lt;=Dias_Alerta,"Próxima a vencer","En plazo"))))</f>
        <v>Cumplida</v>
      </c>
      <c r="L7" s="48" t="n">
        <f aca="false">IF(AND(F7&lt;&gt;"",F7&lt;=Fecha_Corte),1,0)</f>
        <v>1</v>
      </c>
      <c r="N7" s="59" t="s">
        <v>1017</v>
      </c>
      <c r="O7" s="66" t="n">
        <f aca="false">COUNTIFS($G$5:$G$200,"Cumplida",$F$5:$F$200,"&lt;="&amp;Fecha_Corte)</f>
        <v>8</v>
      </c>
    </row>
    <row r="8" customFormat="false" ht="26.85" hidden="false" customHeight="false" outlineLevel="0" collapsed="false">
      <c r="A8" s="38" t="s">
        <v>1018</v>
      </c>
      <c r="B8" s="38" t="s">
        <v>1010</v>
      </c>
      <c r="C8" s="39" t="s">
        <v>1019</v>
      </c>
      <c r="D8" s="39" t="s">
        <v>1004</v>
      </c>
      <c r="E8" s="38" t="s">
        <v>275</v>
      </c>
      <c r="F8" s="44" t="n">
        <v>46418</v>
      </c>
      <c r="G8" s="38" t="s">
        <v>1006</v>
      </c>
      <c r="H8" s="38" t="s">
        <v>276</v>
      </c>
      <c r="I8" s="38" t="s">
        <v>1020</v>
      </c>
      <c r="J8" s="48" t="str">
        <f aca="false">IF(OR(G8="Cumplida",F8=""),"",F8-Fecha_Corte)</f>
        <v/>
      </c>
      <c r="K8" s="17" t="str">
        <f aca="false">IF(G8="Cumplida","Cumplida",IF(F8="","Por evento",IF(F8&lt;Fecha_Corte,"Vencida",IF(F8-Fecha_Corte&lt;=Dias_Alerta,"Próxima a vencer","En plazo"))))</f>
        <v>Cumplida</v>
      </c>
      <c r="L8" s="48" t="n">
        <f aca="false">IF(AND(F8&lt;&gt;"",F8&lt;=Fecha_Corte),1,0)</f>
        <v>1</v>
      </c>
      <c r="N8" s="59" t="s">
        <v>1021</v>
      </c>
      <c r="O8" s="66" t="n">
        <f aca="false">COUNTIF($K$5:$K$200,"Vencida")</f>
        <v>1</v>
      </c>
    </row>
    <row r="9" customFormat="false" ht="15" hidden="false" customHeight="false" outlineLevel="0" collapsed="false">
      <c r="A9" s="38" t="s">
        <v>1022</v>
      </c>
      <c r="B9" s="38" t="s">
        <v>1023</v>
      </c>
      <c r="C9" s="39" t="s">
        <v>1024</v>
      </c>
      <c r="D9" s="39" t="s">
        <v>1004</v>
      </c>
      <c r="E9" s="38" t="s">
        <v>1005</v>
      </c>
      <c r="F9" s="44" t="n">
        <v>46418</v>
      </c>
      <c r="G9" s="38" t="s">
        <v>1006</v>
      </c>
      <c r="H9" s="38" t="s">
        <v>62</v>
      </c>
      <c r="I9" s="38" t="s">
        <v>1025</v>
      </c>
      <c r="J9" s="48" t="str">
        <f aca="false">IF(OR(G9="Cumplida",F9=""),"",F9-Fecha_Corte)</f>
        <v/>
      </c>
      <c r="K9" s="17" t="str">
        <f aca="false">IF(G9="Cumplida","Cumplida",IF(F9="","Por evento",IF(F9&lt;Fecha_Corte,"Vencida",IF(F9-Fecha_Corte&lt;=Dias_Alerta,"Próxima a vencer","En plazo"))))</f>
        <v>Cumplida</v>
      </c>
      <c r="L9" s="48" t="n">
        <f aca="false">IF(AND(F9&lt;&gt;"",F9&lt;=Fecha_Corte),1,0)</f>
        <v>1</v>
      </c>
      <c r="N9" s="59" t="s">
        <v>1026</v>
      </c>
      <c r="O9" s="66" t="n">
        <f aca="false">COUNTIF($K$5:$K$200,"Próxima a vencer")</f>
        <v>3</v>
      </c>
    </row>
    <row r="10" customFormat="false" ht="15" hidden="false" customHeight="false" outlineLevel="0" collapsed="false">
      <c r="A10" s="38" t="s">
        <v>1027</v>
      </c>
      <c r="B10" s="38" t="s">
        <v>1023</v>
      </c>
      <c r="C10" s="39" t="s">
        <v>1028</v>
      </c>
      <c r="D10" s="39" t="s">
        <v>1004</v>
      </c>
      <c r="E10" s="38" t="s">
        <v>51</v>
      </c>
      <c r="F10" s="44" t="n">
        <v>46583</v>
      </c>
      <c r="G10" s="38" t="s">
        <v>989</v>
      </c>
      <c r="H10" s="38" t="s">
        <v>62</v>
      </c>
      <c r="I10" s="38" t="s">
        <v>1029</v>
      </c>
      <c r="J10" s="48" t="n">
        <f aca="false">IF(OR(G10="Cumplida",F10=""),"",F10-Fecha_Corte)</f>
        <v>15</v>
      </c>
      <c r="K10" s="17" t="str">
        <f aca="false">IF(G10="Cumplida","Cumplida",IF(F10="","Por evento",IF(F10&lt;Fecha_Corte,"Vencida",IF(F10-Fecha_Corte&lt;=Dias_Alerta,"Próxima a vencer","En plazo"))))</f>
        <v>Próxima a vencer</v>
      </c>
      <c r="L10" s="48" t="n">
        <f aca="false">IF(AND(F10&lt;&gt;"",F10&lt;=Fecha_Corte),1,0)</f>
        <v>0</v>
      </c>
      <c r="N10" s="59" t="s">
        <v>1030</v>
      </c>
      <c r="O10" s="67" t="n">
        <f aca="false">IF(O6=0,0,O7/O6)</f>
        <v>0.888888888888889</v>
      </c>
    </row>
    <row r="11" customFormat="false" ht="15" hidden="false" customHeight="false" outlineLevel="0" collapsed="false">
      <c r="A11" s="38" t="s">
        <v>1031</v>
      </c>
      <c r="B11" s="38" t="s">
        <v>1002</v>
      </c>
      <c r="C11" s="39" t="s">
        <v>1032</v>
      </c>
      <c r="D11" s="39" t="s">
        <v>1004</v>
      </c>
      <c r="E11" s="38" t="s">
        <v>1033</v>
      </c>
      <c r="F11" s="44" t="n">
        <v>46599</v>
      </c>
      <c r="G11" s="38" t="s">
        <v>989</v>
      </c>
      <c r="H11" s="38" t="s">
        <v>276</v>
      </c>
      <c r="I11" s="38" t="s">
        <v>1034</v>
      </c>
      <c r="J11" s="48" t="n">
        <f aca="false">IF(OR(G11="Cumplida",F11=""),"",F11-Fecha_Corte)</f>
        <v>31</v>
      </c>
      <c r="K11" s="17" t="str">
        <f aca="false">IF(G11="Cumplida","Cumplida",IF(F11="","Por evento",IF(F11&lt;Fecha_Corte,"Vencida",IF(F11-Fecha_Corte&lt;=Dias_Alerta,"Próxima a vencer","En plazo"))))</f>
        <v>En plazo</v>
      </c>
      <c r="L11" s="48" t="n">
        <f aca="false">IF(AND(F11&lt;&gt;"",F11&lt;=Fecha_Corte),1,0)</f>
        <v>0</v>
      </c>
    </row>
    <row r="12" customFormat="false" ht="15" hidden="false" customHeight="false" outlineLevel="0" collapsed="false">
      <c r="A12" s="38" t="s">
        <v>1035</v>
      </c>
      <c r="B12" s="38" t="s">
        <v>1002</v>
      </c>
      <c r="C12" s="39" t="s">
        <v>1036</v>
      </c>
      <c r="D12" s="39" t="s">
        <v>1004</v>
      </c>
      <c r="E12" s="38" t="s">
        <v>275</v>
      </c>
      <c r="F12" s="44" t="n">
        <f aca="false">F6_Auditoria!F5</f>
        <v>46872</v>
      </c>
      <c r="G12" s="38" t="s">
        <v>1037</v>
      </c>
      <c r="H12" s="38" t="s">
        <v>50</v>
      </c>
      <c r="I12" s="38" t="s">
        <v>1038</v>
      </c>
      <c r="J12" s="48" t="n">
        <f aca="false">IF(OR(G12="Cumplida",F12=""),"",F12-Fecha_Corte)</f>
        <v>304</v>
      </c>
      <c r="K12" s="17" t="str">
        <f aca="false">IF(G12="Cumplida","Cumplida",IF(F12="","Por evento",IF(F12&lt;Fecha_Corte,"Vencida",IF(F12-Fecha_Corte&lt;=Dias_Alerta,"Próxima a vencer","En plazo"))))</f>
        <v>En plazo</v>
      </c>
      <c r="L12" s="48" t="n">
        <f aca="false">IF(AND(F12&lt;&gt;"",F12&lt;=Fecha_Corte),1,0)</f>
        <v>0</v>
      </c>
    </row>
    <row r="13" customFormat="false" ht="26.85" hidden="false" customHeight="false" outlineLevel="0" collapsed="false">
      <c r="A13" s="38" t="s">
        <v>1039</v>
      </c>
      <c r="B13" s="38" t="s">
        <v>1002</v>
      </c>
      <c r="C13" s="39" t="s">
        <v>1040</v>
      </c>
      <c r="D13" s="39" t="s">
        <v>1004</v>
      </c>
      <c r="E13" s="38" t="s">
        <v>54</v>
      </c>
      <c r="F13" s="44" t="n">
        <v>46583</v>
      </c>
      <c r="G13" s="38" t="s">
        <v>989</v>
      </c>
      <c r="H13" s="38" t="s">
        <v>50</v>
      </c>
      <c r="I13" s="38" t="s">
        <v>1041</v>
      </c>
      <c r="J13" s="48" t="n">
        <f aca="false">IF(OR(G13="Cumplida",F13=""),"",F13-Fecha_Corte)</f>
        <v>15</v>
      </c>
      <c r="K13" s="17" t="str">
        <f aca="false">IF(G13="Cumplida","Cumplida",IF(F13="","Por evento",IF(F13&lt;Fecha_Corte,"Vencida",IF(F13-Fecha_Corte&lt;=Dias_Alerta,"Próxima a vencer","En plazo"))))</f>
        <v>Próxima a vencer</v>
      </c>
      <c r="L13" s="48" t="n">
        <f aca="false">IF(AND(F13&lt;&gt;"",F13&lt;=Fecha_Corte),1,0)</f>
        <v>0</v>
      </c>
    </row>
    <row r="14" customFormat="false" ht="26.85" hidden="false" customHeight="false" outlineLevel="0" collapsed="false">
      <c r="A14" s="38" t="s">
        <v>1042</v>
      </c>
      <c r="B14" s="38" t="s">
        <v>1023</v>
      </c>
      <c r="C14" s="39" t="s">
        <v>1043</v>
      </c>
      <c r="D14" s="39" t="s">
        <v>1004</v>
      </c>
      <c r="E14" s="38" t="s">
        <v>275</v>
      </c>
      <c r="F14" s="44" t="n">
        <v>46736</v>
      </c>
      <c r="G14" s="38" t="s">
        <v>1037</v>
      </c>
      <c r="H14" s="38" t="s">
        <v>62</v>
      </c>
      <c r="I14" s="38" t="s">
        <v>1044</v>
      </c>
      <c r="J14" s="48" t="n">
        <f aca="false">IF(OR(G14="Cumplida",F14=""),"",F14-Fecha_Corte)</f>
        <v>168</v>
      </c>
      <c r="K14" s="17" t="str">
        <f aca="false">IF(G14="Cumplida","Cumplida",IF(F14="","Por evento",IF(F14&lt;Fecha_Corte,"Vencida",IF(F14-Fecha_Corte&lt;=Dias_Alerta,"Próxima a vencer","En plazo"))))</f>
        <v>En plazo</v>
      </c>
      <c r="L14" s="48" t="n">
        <f aca="false">IF(AND(F14&lt;&gt;"",F14&lt;=Fecha_Corte),1,0)</f>
        <v>0</v>
      </c>
    </row>
    <row r="15" customFormat="false" ht="15" hidden="false" customHeight="false" outlineLevel="0" collapsed="false">
      <c r="A15" s="38" t="s">
        <v>1045</v>
      </c>
      <c r="B15" s="38" t="s">
        <v>1023</v>
      </c>
      <c r="C15" s="39" t="s">
        <v>1046</v>
      </c>
      <c r="D15" s="39" t="s">
        <v>1004</v>
      </c>
      <c r="E15" s="38" t="s">
        <v>1033</v>
      </c>
      <c r="F15" s="44" t="n">
        <v>46599</v>
      </c>
      <c r="G15" s="38" t="s">
        <v>989</v>
      </c>
      <c r="H15" s="38" t="s">
        <v>46</v>
      </c>
      <c r="I15" s="38" t="s">
        <v>1047</v>
      </c>
      <c r="J15" s="48" t="n">
        <f aca="false">IF(OR(G15="Cumplida",F15=""),"",F15-Fecha_Corte)</f>
        <v>31</v>
      </c>
      <c r="K15" s="17" t="str">
        <f aca="false">IF(G15="Cumplida","Cumplida",IF(F15="","Por evento",IF(F15&lt;Fecha_Corte,"Vencida",IF(F15-Fecha_Corte&lt;=Dias_Alerta,"Próxima a vencer","En plazo"))))</f>
        <v>En plazo</v>
      </c>
      <c r="L15" s="48" t="n">
        <f aca="false">IF(AND(F15&lt;&gt;"",F15&lt;=Fecha_Corte),1,0)</f>
        <v>0</v>
      </c>
    </row>
    <row r="16" customFormat="false" ht="15" hidden="false" customHeight="false" outlineLevel="0" collapsed="false">
      <c r="A16" s="38" t="s">
        <v>1048</v>
      </c>
      <c r="B16" s="38" t="s">
        <v>1023</v>
      </c>
      <c r="C16" s="39" t="s">
        <v>1049</v>
      </c>
      <c r="D16" s="39" t="s">
        <v>1004</v>
      </c>
      <c r="E16" s="38" t="s">
        <v>1005</v>
      </c>
      <c r="F16" s="44" t="n">
        <v>46477</v>
      </c>
      <c r="G16" s="38" t="s">
        <v>1006</v>
      </c>
      <c r="H16" s="38" t="s">
        <v>46</v>
      </c>
      <c r="I16" s="38" t="s">
        <v>1050</v>
      </c>
      <c r="J16" s="48" t="str">
        <f aca="false">IF(OR(G16="Cumplida",F16=""),"",F16-Fecha_Corte)</f>
        <v/>
      </c>
      <c r="K16" s="17" t="str">
        <f aca="false">IF(G16="Cumplida","Cumplida",IF(F16="","Por evento",IF(F16&lt;Fecha_Corte,"Vencida",IF(F16-Fecha_Corte&lt;=Dias_Alerta,"Próxima a vencer","En plazo"))))</f>
        <v>Cumplida</v>
      </c>
      <c r="L16" s="48" t="n">
        <f aca="false">IF(AND(F16&lt;&gt;"",F16&lt;=Fecha_Corte),1,0)</f>
        <v>1</v>
      </c>
    </row>
    <row r="17" customFormat="false" ht="26.85" hidden="false" customHeight="false" outlineLevel="0" collapsed="false">
      <c r="A17" s="38" t="s">
        <v>1051</v>
      </c>
      <c r="B17" s="38" t="s">
        <v>1052</v>
      </c>
      <c r="C17" s="39" t="s">
        <v>1053</v>
      </c>
      <c r="D17" s="39" t="s">
        <v>1004</v>
      </c>
      <c r="E17" s="38" t="s">
        <v>1005</v>
      </c>
      <c r="F17" s="44" t="n">
        <v>46477</v>
      </c>
      <c r="G17" s="38" t="s">
        <v>1006</v>
      </c>
      <c r="H17" s="38" t="s">
        <v>46</v>
      </c>
      <c r="I17" s="38" t="s">
        <v>1054</v>
      </c>
      <c r="J17" s="48" t="str">
        <f aca="false">IF(OR(G17="Cumplida",F17=""),"",F17-Fecha_Corte)</f>
        <v/>
      </c>
      <c r="K17" s="17" t="str">
        <f aca="false">IF(G17="Cumplida","Cumplida",IF(F17="","Por evento",IF(F17&lt;Fecha_Corte,"Vencida",IF(F17-Fecha_Corte&lt;=Dias_Alerta,"Próxima a vencer","En plazo"))))</f>
        <v>Cumplida</v>
      </c>
      <c r="L17" s="48" t="n">
        <f aca="false">IF(AND(F17&lt;&gt;"",F17&lt;=Fecha_Corte),1,0)</f>
        <v>1</v>
      </c>
    </row>
    <row r="18" customFormat="false" ht="15" hidden="false" customHeight="false" outlineLevel="0" collapsed="false">
      <c r="A18" s="38" t="s">
        <v>1055</v>
      </c>
      <c r="B18" s="38" t="s">
        <v>1010</v>
      </c>
      <c r="C18" s="39" t="s">
        <v>1056</v>
      </c>
      <c r="D18" s="39" t="s">
        <v>1004</v>
      </c>
      <c r="E18" s="38" t="s">
        <v>1005</v>
      </c>
      <c r="F18" s="44" t="n">
        <v>46553</v>
      </c>
      <c r="G18" s="38" t="s">
        <v>989</v>
      </c>
      <c r="H18" s="38" t="s">
        <v>276</v>
      </c>
      <c r="I18" s="38" t="s">
        <v>1057</v>
      </c>
      <c r="J18" s="48" t="n">
        <f aca="false">IF(OR(G18="Cumplida",F18=""),"",F18-Fecha_Corte)</f>
        <v>-15</v>
      </c>
      <c r="K18" s="17" t="str">
        <f aca="false">IF(G18="Cumplida","Cumplida",IF(F18="","Por evento",IF(F18&lt;Fecha_Corte,"Vencida",IF(F18-Fecha_Corte&lt;=Dias_Alerta,"Próxima a vencer","En plazo"))))</f>
        <v>Vencida</v>
      </c>
      <c r="L18" s="48" t="n">
        <f aca="false">IF(AND(F18&lt;&gt;"",F18&lt;=Fecha_Corte),1,0)</f>
        <v>1</v>
      </c>
    </row>
    <row r="19" customFormat="false" ht="15" hidden="false" customHeight="false" outlineLevel="0" collapsed="false">
      <c r="A19" s="38" t="s">
        <v>1058</v>
      </c>
      <c r="B19" s="38" t="s">
        <v>1052</v>
      </c>
      <c r="C19" s="39" t="s">
        <v>1059</v>
      </c>
      <c r="D19" s="39" t="s">
        <v>1004</v>
      </c>
      <c r="E19" s="38" t="s">
        <v>26</v>
      </c>
      <c r="F19" s="44" t="n">
        <f aca="false">WORKDAY(EOMONTH(Fecha_Corte,0),Plazo_Informe)</f>
        <v>46573</v>
      </c>
      <c r="G19" s="38" t="s">
        <v>989</v>
      </c>
      <c r="H19" s="38" t="s">
        <v>29</v>
      </c>
      <c r="I19" s="38" t="s">
        <v>1060</v>
      </c>
      <c r="J19" s="48" t="n">
        <f aca="false">IF(OR(G19="Cumplida",F19=""),"",F19-Fecha_Corte)</f>
        <v>5</v>
      </c>
      <c r="K19" s="17" t="str">
        <f aca="false">IF(G19="Cumplida","Cumplida",IF(F19="","Por evento",IF(F19&lt;Fecha_Corte,"Vencida",IF(F19-Fecha_Corte&lt;=Dias_Alerta,"Próxima a vencer","En plazo"))))</f>
        <v>Próxima a vencer</v>
      </c>
      <c r="L19" s="48" t="n">
        <f aca="false">IF(AND(F19&lt;&gt;"",F19&lt;=Fecha_Corte),1,0)</f>
        <v>0</v>
      </c>
    </row>
    <row r="20" customFormat="false" ht="26.85" hidden="false" customHeight="false" outlineLevel="0" collapsed="false">
      <c r="A20" s="38" t="s">
        <v>1061</v>
      </c>
      <c r="B20" s="38" t="s">
        <v>1023</v>
      </c>
      <c r="C20" s="39" t="s">
        <v>1062</v>
      </c>
      <c r="D20" s="39" t="s">
        <v>1004</v>
      </c>
      <c r="E20" s="38" t="s">
        <v>54</v>
      </c>
      <c r="F20" s="44" t="n">
        <v>46568</v>
      </c>
      <c r="G20" s="38" t="s">
        <v>1006</v>
      </c>
      <c r="H20" s="38" t="s">
        <v>62</v>
      </c>
      <c r="I20" s="38" t="s">
        <v>1063</v>
      </c>
      <c r="J20" s="48" t="str">
        <f aca="false">IF(OR(G20="Cumplida",F20=""),"",F20-Fecha_Corte)</f>
        <v/>
      </c>
      <c r="K20" s="17" t="str">
        <f aca="false">IF(G20="Cumplida","Cumplida",IF(F20="","Por evento",IF(F20&lt;Fecha_Corte,"Vencida",IF(F20-Fecha_Corte&lt;=Dias_Alerta,"Próxima a vencer","En plazo"))))</f>
        <v>Cumplida</v>
      </c>
      <c r="L20" s="48" t="n">
        <f aca="false">IF(AND(F20&lt;&gt;"",F20&lt;=Fecha_Corte),1,0)</f>
        <v>1</v>
      </c>
    </row>
    <row r="21" customFormat="false" ht="26.85" hidden="false" customHeight="false" outlineLevel="0" collapsed="false">
      <c r="A21" s="38" t="s">
        <v>1064</v>
      </c>
      <c r="B21" s="38" t="s">
        <v>1052</v>
      </c>
      <c r="C21" s="39" t="s">
        <v>1065</v>
      </c>
      <c r="D21" s="39" t="s">
        <v>1004</v>
      </c>
      <c r="E21" s="38" t="s">
        <v>275</v>
      </c>
      <c r="F21" s="44" t="n">
        <v>46736</v>
      </c>
      <c r="G21" s="38" t="s">
        <v>1037</v>
      </c>
      <c r="H21" s="38" t="s">
        <v>29</v>
      </c>
      <c r="I21" s="38" t="s">
        <v>1066</v>
      </c>
      <c r="J21" s="48" t="n">
        <f aca="false">IF(OR(G21="Cumplida",F21=""),"",F21-Fecha_Corte)</f>
        <v>168</v>
      </c>
      <c r="K21" s="17" t="str">
        <f aca="false">IF(G21="Cumplida","Cumplida",IF(F21="","Por evento",IF(F21&lt;Fecha_Corte,"Vencida",IF(F21-Fecha_Corte&lt;=Dias_Alerta,"Próxima a vencer","En plazo"))))</f>
        <v>En plazo</v>
      </c>
      <c r="L21" s="48" t="n">
        <f aca="false">IF(AND(F21&lt;&gt;"",F21&lt;=Fecha_Corte),1,0)</f>
        <v>0</v>
      </c>
    </row>
    <row r="22" customFormat="false" ht="26.85" hidden="false" customHeight="false" outlineLevel="0" collapsed="false">
      <c r="A22" s="38" t="s">
        <v>1067</v>
      </c>
      <c r="B22" s="38" t="s">
        <v>1010</v>
      </c>
      <c r="C22" s="39" t="s">
        <v>1068</v>
      </c>
      <c r="D22" s="39" t="s">
        <v>1004</v>
      </c>
      <c r="E22" s="38" t="s">
        <v>1069</v>
      </c>
      <c r="F22" s="44"/>
      <c r="G22" s="38" t="s">
        <v>1037</v>
      </c>
      <c r="H22" s="38" t="s">
        <v>29</v>
      </c>
      <c r="I22" s="38" t="s">
        <v>1070</v>
      </c>
      <c r="J22" s="48" t="str">
        <f aca="false">IF(OR(G22="Cumplida",F22=""),"",F22-Fecha_Corte)</f>
        <v/>
      </c>
      <c r="K22" s="17" t="str">
        <f aca="false">IF(G22="Cumplida","Cumplida",IF(F22="","Por evento",IF(F22&lt;Fecha_Corte,"Vencida",IF(F22-Fecha_Corte&lt;=Dias_Alerta,"Próxima a vencer","En plazo"))))</f>
        <v>Por evento</v>
      </c>
      <c r="L22" s="48" t="n">
        <f aca="false">IF(AND(F22&lt;&gt;"",F22&lt;=Fecha_Corte),1,0)</f>
        <v>0</v>
      </c>
    </row>
    <row r="23" customFormat="false" ht="15" hidden="false" customHeight="false" outlineLevel="0" collapsed="false">
      <c r="A23" s="38" t="s">
        <v>1071</v>
      </c>
      <c r="B23" s="38" t="s">
        <v>1002</v>
      </c>
      <c r="C23" s="39" t="s">
        <v>1072</v>
      </c>
      <c r="D23" s="39" t="s">
        <v>1004</v>
      </c>
      <c r="E23" s="38" t="s">
        <v>1005</v>
      </c>
      <c r="F23" s="44" t="n">
        <v>47483</v>
      </c>
      <c r="G23" s="38" t="s">
        <v>1037</v>
      </c>
      <c r="H23" s="38" t="s">
        <v>276</v>
      </c>
      <c r="I23" s="38" t="s">
        <v>1073</v>
      </c>
      <c r="J23" s="48" t="n">
        <f aca="false">IF(OR(G23="Cumplida",F23=""),"",F23-Fecha_Corte)</f>
        <v>915</v>
      </c>
      <c r="K23" s="17" t="str">
        <f aca="false">IF(G23="Cumplida","Cumplida",IF(F23="","Por evento",IF(F23&lt;Fecha_Corte,"Vencida",IF(F23-Fecha_Corte&lt;=Dias_Alerta,"Próxima a vencer","En plazo"))))</f>
        <v>En plazo</v>
      </c>
      <c r="L23" s="48" t="n">
        <f aca="false">IF(AND(F23&lt;&gt;"",F23&lt;=Fecha_Corte),1,0)</f>
        <v>0</v>
      </c>
    </row>
  </sheetData>
  <autoFilter ref="A4:L23"/>
  <conditionalFormatting sqref="K5:K200">
    <cfRule type="cellIs" priority="2" operator="equal" aboveAverage="0" equalAverage="0" bottom="0" percent="0" rank="0" text="" dxfId="0">
      <formula>"Cumplida"</formula>
    </cfRule>
    <cfRule type="cellIs" priority="3" operator="equal" aboveAverage="0" equalAverage="0" bottom="0" percent="0" rank="0" text="" dxfId="1">
      <formula>"Próxima a vencer"</formula>
    </cfRule>
    <cfRule type="cellIs" priority="4" operator="equal" aboveAverage="0" equalAverage="0" bottom="0" percent="0" rank="0" text="" dxfId="2">
      <formula>"Vencida"</formula>
    </cfRule>
  </conditionalFormatting>
  <dataValidations count="3">
    <dataValidation allowBlank="true" error="Valor no válido" errorStyle="stop" errorTitle="Seleccione un valor de la lista" operator="between" showDropDown="false" showErrorMessage="false" showInputMessage="false" sqref="B5:B200" type="list">
      <formula1>Listas!$W$5:$W$10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G5:G200" type="list">
      <formula1>Listas!$L$5:$L$7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H5:H200" type="list">
      <formula1>Listas!$V$5:$V$11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36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1074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1075</v>
      </c>
    </row>
    <row r="4" customFormat="false" ht="33.75" hidden="false" customHeight="true" outlineLevel="0" collapsed="false">
      <c r="A4" s="14" t="s">
        <v>1076</v>
      </c>
      <c r="B4" s="14" t="s">
        <v>1077</v>
      </c>
      <c r="C4" s="14" t="s">
        <v>1078</v>
      </c>
      <c r="D4" s="14" t="s">
        <v>1079</v>
      </c>
      <c r="E4" s="14" t="s">
        <v>604</v>
      </c>
      <c r="F4" s="14" t="s">
        <v>1080</v>
      </c>
      <c r="G4" s="14" t="s">
        <v>1081</v>
      </c>
    </row>
    <row r="5" customFormat="false" ht="26.85" hidden="false" customHeight="false" outlineLevel="0" collapsed="false">
      <c r="A5" s="38" t="s">
        <v>1082</v>
      </c>
      <c r="B5" s="38" t="n">
        <v>1</v>
      </c>
      <c r="C5" s="39" t="s">
        <v>1083</v>
      </c>
      <c r="D5" s="38" t="s">
        <v>862</v>
      </c>
      <c r="E5" s="38" t="s">
        <v>612</v>
      </c>
      <c r="F5" s="39" t="s">
        <v>1084</v>
      </c>
      <c r="G5" s="39" t="s">
        <v>1085</v>
      </c>
    </row>
    <row r="6" customFormat="false" ht="26.85" hidden="false" customHeight="false" outlineLevel="0" collapsed="false">
      <c r="A6" s="38" t="s">
        <v>894</v>
      </c>
      <c r="B6" s="38" t="n">
        <v>1</v>
      </c>
      <c r="C6" s="39" t="s">
        <v>1086</v>
      </c>
      <c r="D6" s="38" t="s">
        <v>862</v>
      </c>
      <c r="E6" s="38" t="s">
        <v>623</v>
      </c>
      <c r="F6" s="39" t="s">
        <v>1087</v>
      </c>
      <c r="G6" s="39" t="s">
        <v>29</v>
      </c>
    </row>
    <row r="7" customFormat="false" ht="15" hidden="false" customHeight="false" outlineLevel="0" collapsed="false">
      <c r="A7" s="38" t="s">
        <v>896</v>
      </c>
      <c r="B7" s="38" t="n">
        <v>1</v>
      </c>
      <c r="C7" s="39" t="s">
        <v>1088</v>
      </c>
      <c r="D7" s="38" t="s">
        <v>862</v>
      </c>
      <c r="E7" s="38" t="s">
        <v>636</v>
      </c>
      <c r="F7" s="39" t="s">
        <v>1089</v>
      </c>
      <c r="G7" s="39" t="s">
        <v>29</v>
      </c>
    </row>
    <row r="8" customFormat="false" ht="26.85" hidden="false" customHeight="false" outlineLevel="0" collapsed="false">
      <c r="A8" s="38" t="s">
        <v>1090</v>
      </c>
      <c r="B8" s="38" t="n">
        <v>1</v>
      </c>
      <c r="C8" s="39" t="s">
        <v>1091</v>
      </c>
      <c r="D8" s="38" t="s">
        <v>862</v>
      </c>
      <c r="E8" s="38" t="s">
        <v>666</v>
      </c>
      <c r="F8" s="39" t="s">
        <v>1092</v>
      </c>
      <c r="G8" s="39" t="s">
        <v>29</v>
      </c>
    </row>
    <row r="9" customFormat="false" ht="26.85" hidden="false" customHeight="false" outlineLevel="0" collapsed="false">
      <c r="A9" s="38" t="s">
        <v>900</v>
      </c>
      <c r="B9" s="38" t="n">
        <v>1</v>
      </c>
      <c r="C9" s="39" t="s">
        <v>1093</v>
      </c>
      <c r="D9" s="38" t="s">
        <v>862</v>
      </c>
      <c r="E9" s="38" t="s">
        <v>697</v>
      </c>
      <c r="F9" s="39" t="s">
        <v>1094</v>
      </c>
      <c r="G9" s="39" t="s">
        <v>29</v>
      </c>
    </row>
    <row r="10" customFormat="false" ht="15" hidden="false" customHeight="false" outlineLevel="0" collapsed="false">
      <c r="A10" s="38" t="s">
        <v>1095</v>
      </c>
      <c r="B10" s="38" t="n">
        <v>1</v>
      </c>
      <c r="C10" s="39" t="s">
        <v>1096</v>
      </c>
      <c r="D10" s="38" t="s">
        <v>1097</v>
      </c>
      <c r="E10" s="38"/>
      <c r="F10" s="39" t="s">
        <v>1098</v>
      </c>
      <c r="G10" s="39" t="s">
        <v>29</v>
      </c>
    </row>
  </sheetData>
  <dataValidations count="1">
    <dataValidation allowBlank="true" error="Valor no válido" errorStyle="stop" errorTitle="Seleccione un valor de la lista" operator="between" showDropDown="false" showErrorMessage="false" showInputMessage="false" sqref="D5:D20" type="list">
      <formula1>"Contratado,En selección,Por contratar"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2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1099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1100</v>
      </c>
    </row>
    <row r="4" customFormat="false" ht="39.75" hidden="false" customHeight="true" outlineLevel="0" collapsed="false">
      <c r="A4" s="14" t="s">
        <v>1101</v>
      </c>
      <c r="B4" s="14" t="s">
        <v>1102</v>
      </c>
      <c r="C4" s="14" t="s">
        <v>50</v>
      </c>
      <c r="D4" s="14" t="s">
        <v>1103</v>
      </c>
      <c r="E4" s="14" t="s">
        <v>1104</v>
      </c>
      <c r="F4" s="14" t="s">
        <v>46</v>
      </c>
      <c r="G4" s="14" t="s">
        <v>1105</v>
      </c>
      <c r="H4" s="14" t="s">
        <v>1106</v>
      </c>
      <c r="I4" s="14" t="s">
        <v>1107</v>
      </c>
      <c r="J4" s="14" t="s">
        <v>1108</v>
      </c>
    </row>
    <row r="5" customFormat="false" ht="15" hidden="false" customHeight="false" outlineLevel="0" collapsed="false">
      <c r="A5" s="11" t="s">
        <v>1109</v>
      </c>
      <c r="B5" s="68" t="s">
        <v>1110</v>
      </c>
      <c r="C5" s="68" t="s">
        <v>1111</v>
      </c>
      <c r="D5" s="68" t="s">
        <v>1111</v>
      </c>
      <c r="E5" s="68" t="s">
        <v>1112</v>
      </c>
      <c r="F5" s="68" t="s">
        <v>1111</v>
      </c>
      <c r="G5" s="68" t="s">
        <v>1111</v>
      </c>
      <c r="H5" s="68" t="s">
        <v>1113</v>
      </c>
      <c r="I5" s="68" t="s">
        <v>1111</v>
      </c>
      <c r="J5" s="17" t="str">
        <f aca="false">IF(COUNTIF(B5:I5,"A*")=1,"OK","REVISAR")</f>
        <v>OK</v>
      </c>
    </row>
    <row r="6" customFormat="false" ht="15" hidden="false" customHeight="false" outlineLevel="0" collapsed="false">
      <c r="A6" s="11" t="s">
        <v>1114</v>
      </c>
      <c r="B6" s="68" t="s">
        <v>1110</v>
      </c>
      <c r="C6" s="68" t="s">
        <v>1111</v>
      </c>
      <c r="D6" s="68" t="s">
        <v>1112</v>
      </c>
      <c r="E6" s="68" t="s">
        <v>1111</v>
      </c>
      <c r="F6" s="68" t="s">
        <v>1111</v>
      </c>
      <c r="G6" s="68" t="s">
        <v>1113</v>
      </c>
      <c r="H6" s="68" t="s">
        <v>1113</v>
      </c>
      <c r="I6" s="68" t="s">
        <v>1111</v>
      </c>
      <c r="J6" s="17" t="str">
        <f aca="false">IF(COUNTIF(B6:I6,"A*")=1,"OK","REVISAR")</f>
        <v>OK</v>
      </c>
    </row>
    <row r="7" customFormat="false" ht="15" hidden="false" customHeight="false" outlineLevel="0" collapsed="false">
      <c r="A7" s="11" t="s">
        <v>1115</v>
      </c>
      <c r="B7" s="68" t="s">
        <v>1110</v>
      </c>
      <c r="C7" s="68" t="s">
        <v>1111</v>
      </c>
      <c r="D7" s="68" t="s">
        <v>1112</v>
      </c>
      <c r="E7" s="68" t="s">
        <v>1111</v>
      </c>
      <c r="F7" s="68" t="s">
        <v>1111</v>
      </c>
      <c r="G7" s="68" t="s">
        <v>1111</v>
      </c>
      <c r="H7" s="68" t="s">
        <v>1113</v>
      </c>
      <c r="I7" s="68" t="s">
        <v>1111</v>
      </c>
      <c r="J7" s="17" t="str">
        <f aca="false">IF(COUNTIF(B7:I7,"A*")=1,"OK","REVISAR")</f>
        <v>OK</v>
      </c>
    </row>
    <row r="8" customFormat="false" ht="15" hidden="false" customHeight="false" outlineLevel="0" collapsed="false">
      <c r="A8" s="11" t="s">
        <v>1116</v>
      </c>
      <c r="B8" s="68" t="s">
        <v>1110</v>
      </c>
      <c r="C8" s="68" t="s">
        <v>1111</v>
      </c>
      <c r="D8" s="68" t="s">
        <v>1112</v>
      </c>
      <c r="E8" s="68" t="s">
        <v>1111</v>
      </c>
      <c r="F8" s="68" t="s">
        <v>1111</v>
      </c>
      <c r="G8" s="68" t="s">
        <v>1113</v>
      </c>
      <c r="H8" s="68" t="s">
        <v>1113</v>
      </c>
      <c r="I8" s="68" t="s">
        <v>1111</v>
      </c>
      <c r="J8" s="17" t="str">
        <f aca="false">IF(COUNTIF(B8:I8,"A*")=1,"OK","REVISAR")</f>
        <v>OK</v>
      </c>
    </row>
    <row r="9" customFormat="false" ht="15" hidden="false" customHeight="false" outlineLevel="0" collapsed="false">
      <c r="A9" s="11" t="s">
        <v>1117</v>
      </c>
      <c r="B9" s="68" t="s">
        <v>1110</v>
      </c>
      <c r="C9" s="68" t="s">
        <v>1112</v>
      </c>
      <c r="D9" s="68" t="s">
        <v>1111</v>
      </c>
      <c r="E9" s="68" t="s">
        <v>1111</v>
      </c>
      <c r="F9" s="68" t="s">
        <v>1113</v>
      </c>
      <c r="G9" s="68" t="s">
        <v>1111</v>
      </c>
      <c r="H9" s="68" t="s">
        <v>1113</v>
      </c>
      <c r="I9" s="68" t="s">
        <v>1113</v>
      </c>
      <c r="J9" s="17" t="str">
        <f aca="false">IF(COUNTIF(B9:I9,"A*")=1,"OK","REVISAR")</f>
        <v>OK</v>
      </c>
    </row>
    <row r="10" customFormat="false" ht="15" hidden="false" customHeight="false" outlineLevel="0" collapsed="false">
      <c r="A10" s="11" t="s">
        <v>1118</v>
      </c>
      <c r="B10" s="68" t="s">
        <v>1110</v>
      </c>
      <c r="C10" s="68" t="s">
        <v>1112</v>
      </c>
      <c r="D10" s="68" t="s">
        <v>1111</v>
      </c>
      <c r="E10" s="68" t="s">
        <v>1111</v>
      </c>
      <c r="F10" s="68" t="s">
        <v>1113</v>
      </c>
      <c r="G10" s="68" t="s">
        <v>1113</v>
      </c>
      <c r="H10" s="68" t="s">
        <v>1113</v>
      </c>
      <c r="I10" s="68" t="s">
        <v>1111</v>
      </c>
      <c r="J10" s="17" t="str">
        <f aca="false">IF(COUNTIF(B10:I10,"A*")=1,"OK","REVISAR")</f>
        <v>OK</v>
      </c>
    </row>
    <row r="11" customFormat="false" ht="15" hidden="false" customHeight="false" outlineLevel="0" collapsed="false">
      <c r="A11" s="11" t="s">
        <v>1119</v>
      </c>
      <c r="B11" s="68" t="s">
        <v>1110</v>
      </c>
      <c r="C11" s="68" t="s">
        <v>1112</v>
      </c>
      <c r="D11" s="68" t="s">
        <v>1111</v>
      </c>
      <c r="E11" s="68" t="s">
        <v>1113</v>
      </c>
      <c r="F11" s="68" t="s">
        <v>1113</v>
      </c>
      <c r="G11" s="68" t="s">
        <v>1113</v>
      </c>
      <c r="H11" s="68" t="s">
        <v>1113</v>
      </c>
      <c r="I11" s="68" t="s">
        <v>1113</v>
      </c>
      <c r="J11" s="17" t="str">
        <f aca="false">IF(COUNTIF(B11:I11,"A*")=1,"OK","REVISAR")</f>
        <v>OK</v>
      </c>
    </row>
    <row r="12" customFormat="false" ht="15" hidden="false" customHeight="false" outlineLevel="0" collapsed="false">
      <c r="A12" s="11" t="s">
        <v>1120</v>
      </c>
      <c r="B12" s="68" t="s">
        <v>1110</v>
      </c>
      <c r="C12" s="68" t="s">
        <v>1111</v>
      </c>
      <c r="D12" s="68" t="s">
        <v>1113</v>
      </c>
      <c r="E12" s="68" t="s">
        <v>1112</v>
      </c>
      <c r="F12" s="68" t="s">
        <v>1111</v>
      </c>
      <c r="G12" s="68" t="s">
        <v>1113</v>
      </c>
      <c r="H12" s="68" t="s">
        <v>1113</v>
      </c>
      <c r="I12" s="68" t="s">
        <v>1111</v>
      </c>
      <c r="J12" s="17" t="str">
        <f aca="false">IF(COUNTIF(B12:I12,"A*")=1,"OK","REVISAR")</f>
        <v>OK</v>
      </c>
    </row>
    <row r="13" customFormat="false" ht="15" hidden="false" customHeight="false" outlineLevel="0" collapsed="false">
      <c r="A13" s="11" t="s">
        <v>1121</v>
      </c>
      <c r="B13" s="68" t="s">
        <v>1110</v>
      </c>
      <c r="C13" s="68" t="s">
        <v>1111</v>
      </c>
      <c r="D13" s="68" t="s">
        <v>1111</v>
      </c>
      <c r="E13" s="68" t="s">
        <v>1112</v>
      </c>
      <c r="F13" s="68" t="s">
        <v>1111</v>
      </c>
      <c r="G13" s="68" t="s">
        <v>1113</v>
      </c>
      <c r="H13" s="68" t="s">
        <v>1113</v>
      </c>
      <c r="I13" s="68" t="s">
        <v>1113</v>
      </c>
      <c r="J13" s="17" t="str">
        <f aca="false">IF(COUNTIF(B13:I13,"A*")=1,"OK","REVISAR")</f>
        <v>OK</v>
      </c>
    </row>
    <row r="14" customFormat="false" ht="15" hidden="false" customHeight="false" outlineLevel="0" collapsed="false">
      <c r="A14" s="11" t="s">
        <v>1122</v>
      </c>
      <c r="B14" s="68" t="s">
        <v>1110</v>
      </c>
      <c r="C14" s="68" t="s">
        <v>1113</v>
      </c>
      <c r="D14" s="68" t="s">
        <v>1111</v>
      </c>
      <c r="E14" s="68" t="s">
        <v>1111</v>
      </c>
      <c r="F14" s="68" t="s">
        <v>1112</v>
      </c>
      <c r="G14" s="68" t="s">
        <v>1113</v>
      </c>
      <c r="H14" s="68" t="s">
        <v>1113</v>
      </c>
      <c r="I14" s="68" t="s">
        <v>1111</v>
      </c>
      <c r="J14" s="17" t="str">
        <f aca="false">IF(COUNTIF(B14:I14,"A*")=1,"OK","REVISAR")</f>
        <v>OK</v>
      </c>
    </row>
    <row r="15" customFormat="false" ht="15" hidden="false" customHeight="false" outlineLevel="0" collapsed="false">
      <c r="A15" s="11" t="s">
        <v>1059</v>
      </c>
      <c r="B15" s="68" t="s">
        <v>1123</v>
      </c>
      <c r="C15" s="68" t="s">
        <v>1111</v>
      </c>
      <c r="D15" s="68" t="s">
        <v>1111</v>
      </c>
      <c r="E15" s="68" t="s">
        <v>1112</v>
      </c>
      <c r="F15" s="68" t="s">
        <v>1111</v>
      </c>
      <c r="G15" s="68" t="s">
        <v>1113</v>
      </c>
      <c r="H15" s="68" t="s">
        <v>1113</v>
      </c>
      <c r="I15" s="68" t="s">
        <v>1113</v>
      </c>
      <c r="J15" s="17" t="str">
        <f aca="false">IF(COUNTIF(B15:I15,"A*")=1,"OK","REVISAR")</f>
        <v>OK</v>
      </c>
    </row>
    <row r="16" customFormat="false" ht="15" hidden="false" customHeight="false" outlineLevel="0" collapsed="false">
      <c r="A16" s="11" t="s">
        <v>1124</v>
      </c>
      <c r="B16" s="68" t="s">
        <v>1110</v>
      </c>
      <c r="C16" s="68" t="s">
        <v>1111</v>
      </c>
      <c r="D16" s="68" t="s">
        <v>1111</v>
      </c>
      <c r="E16" s="68" t="s">
        <v>1112</v>
      </c>
      <c r="F16" s="68" t="s">
        <v>1111</v>
      </c>
      <c r="G16" s="68" t="s">
        <v>1113</v>
      </c>
      <c r="H16" s="68" t="s">
        <v>1113</v>
      </c>
      <c r="I16" s="68" t="s">
        <v>1111</v>
      </c>
      <c r="J16" s="17" t="str">
        <f aca="false">IF(COUNTIF(B16:I16,"A*")=1,"OK","REVISAR")</f>
        <v>OK</v>
      </c>
    </row>
    <row r="17" customFormat="false" ht="15" hidden="false" customHeight="false" outlineLevel="0" collapsed="false">
      <c r="A17" s="11" t="s">
        <v>1125</v>
      </c>
      <c r="B17" s="68" t="s">
        <v>1110</v>
      </c>
      <c r="C17" s="68" t="s">
        <v>1112</v>
      </c>
      <c r="D17" s="68" t="s">
        <v>1111</v>
      </c>
      <c r="E17" s="68" t="s">
        <v>1111</v>
      </c>
      <c r="F17" s="68" t="s">
        <v>1111</v>
      </c>
      <c r="G17" s="68" t="s">
        <v>1113</v>
      </c>
      <c r="H17" s="68" t="s">
        <v>1113</v>
      </c>
      <c r="I17" s="68" t="s">
        <v>1113</v>
      </c>
      <c r="J17" s="17" t="str">
        <f aca="false">IF(COUNTIF(B17:I17,"A*")=1,"OK","REVISAR")</f>
        <v>OK</v>
      </c>
    </row>
    <row r="18" customFormat="false" ht="15" hidden="false" customHeight="false" outlineLevel="0" collapsed="false">
      <c r="A18" s="11" t="s">
        <v>1126</v>
      </c>
      <c r="B18" s="68" t="s">
        <v>1110</v>
      </c>
      <c r="C18" s="68" t="s">
        <v>1112</v>
      </c>
      <c r="D18" s="68" t="s">
        <v>1112</v>
      </c>
      <c r="E18" s="68" t="s">
        <v>1112</v>
      </c>
      <c r="F18" s="68" t="s">
        <v>1112</v>
      </c>
      <c r="G18" s="68" t="s">
        <v>1111</v>
      </c>
      <c r="H18" s="68" t="s">
        <v>1113</v>
      </c>
      <c r="I18" s="68" t="s">
        <v>1111</v>
      </c>
      <c r="J18" s="17" t="str">
        <f aca="false">IF(COUNTIF(B18:I18,"A*")=1,"OK","REVISAR")</f>
        <v>OK</v>
      </c>
    </row>
  </sheetData>
  <conditionalFormatting sqref="J5:J4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"REVISAR"</formula>
    </cfRule>
  </conditionalFormatting>
  <dataValidations count="1">
    <dataValidation allowBlank="true" error="Valor no válido" errorStyle="stop" errorTitle="Seleccione un valor de la lista" operator="between" showDropDown="false" showErrorMessage="false" showInputMessage="false" sqref="B5:I40" type="list">
      <formula1>"R,A,C,I,A/R"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9" min="8" style="0" width="11"/>
  </cols>
  <sheetData>
    <row r="1" customFormat="false" ht="24" hidden="false" customHeight="true" outlineLevel="0" collapsed="false">
      <c r="A1" s="1" t="s">
        <v>1127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1128</v>
      </c>
    </row>
    <row r="4" customFormat="false" ht="33.75" hidden="false" customHeight="true" outlineLevel="0" collapsed="false">
      <c r="A4" s="14" t="s">
        <v>253</v>
      </c>
      <c r="B4" s="14" t="s">
        <v>1129</v>
      </c>
      <c r="C4" s="14" t="s">
        <v>335</v>
      </c>
      <c r="D4" s="14" t="s">
        <v>336</v>
      </c>
      <c r="E4" s="14" t="s">
        <v>1130</v>
      </c>
      <c r="F4" s="14" t="s">
        <v>1131</v>
      </c>
      <c r="G4" s="14" t="s">
        <v>1132</v>
      </c>
      <c r="H4" s="14" t="s">
        <v>1133</v>
      </c>
      <c r="I4" s="14" t="s">
        <v>1134</v>
      </c>
    </row>
    <row r="5" customFormat="false" ht="77.6" hidden="false" customHeight="false" outlineLevel="0" collapsed="false">
      <c r="A5" s="38" t="s">
        <v>1135</v>
      </c>
      <c r="B5" s="38" t="s">
        <v>1136</v>
      </c>
      <c r="C5" s="44" t="n">
        <v>46433</v>
      </c>
      <c r="D5" s="44" t="n">
        <v>46435</v>
      </c>
      <c r="E5" s="39" t="s">
        <v>1137</v>
      </c>
      <c r="F5" s="39" t="s">
        <v>1138</v>
      </c>
      <c r="G5" s="48" t="n">
        <f aca="false">COUNTIFS($B$14:$B$100,A5)</f>
        <v>5</v>
      </c>
      <c r="H5" s="48" t="n">
        <f aca="false">COUNTIFS($B$14:$B$100,A5,$G$14:$G$100,"Cumplido")</f>
        <v>5</v>
      </c>
      <c r="I5" s="41" t="n">
        <f aca="false">IF(G5=0,"",H5/G5)</f>
        <v>1</v>
      </c>
    </row>
    <row r="6" customFormat="false" ht="64.9" hidden="false" customHeight="false" outlineLevel="0" collapsed="false">
      <c r="A6" s="38" t="s">
        <v>1139</v>
      </c>
      <c r="B6" s="38" t="s">
        <v>1140</v>
      </c>
      <c r="C6" s="44" t="n">
        <v>46524</v>
      </c>
      <c r="D6" s="44" t="n">
        <v>46528</v>
      </c>
      <c r="E6" s="39" t="s">
        <v>1141</v>
      </c>
      <c r="F6" s="39" t="s">
        <v>1142</v>
      </c>
      <c r="G6" s="48" t="n">
        <f aca="false">COUNTIFS($B$14:$B$100,A6)</f>
        <v>5</v>
      </c>
      <c r="H6" s="48" t="n">
        <f aca="false">COUNTIFS($B$14:$B$100,A6,$G$14:$G$100,"Cumplido")</f>
        <v>1</v>
      </c>
      <c r="I6" s="41" t="n">
        <f aca="false">IF(G6=0,"",H6/G6)</f>
        <v>0.2</v>
      </c>
    </row>
    <row r="12" customFormat="false" ht="15" hidden="false" customHeight="false" outlineLevel="0" collapsed="false">
      <c r="A12" s="21" t="s">
        <v>1143</v>
      </c>
    </row>
    <row r="13" customFormat="false" ht="33.75" hidden="false" customHeight="true" outlineLevel="0" collapsed="false">
      <c r="A13" s="14" t="s">
        <v>253</v>
      </c>
      <c r="B13" s="14" t="s">
        <v>1144</v>
      </c>
      <c r="C13" s="14" t="s">
        <v>1145</v>
      </c>
      <c r="D13" s="14" t="s">
        <v>269</v>
      </c>
      <c r="E13" s="14" t="s">
        <v>448</v>
      </c>
      <c r="F13" s="14" t="s">
        <v>1146</v>
      </c>
      <c r="G13" s="14" t="s">
        <v>233</v>
      </c>
      <c r="H13" s="14" t="s">
        <v>346</v>
      </c>
      <c r="I13" s="14" t="s">
        <v>1147</v>
      </c>
    </row>
    <row r="14" customFormat="false" ht="26.85" hidden="false" customHeight="false" outlineLevel="0" collapsed="false">
      <c r="A14" s="38" t="s">
        <v>1148</v>
      </c>
      <c r="B14" s="38" t="s">
        <v>1135</v>
      </c>
      <c r="C14" s="39" t="s">
        <v>1149</v>
      </c>
      <c r="D14" s="38" t="s">
        <v>62</v>
      </c>
      <c r="E14" s="44" t="n">
        <v>46446</v>
      </c>
      <c r="F14" s="44" t="n">
        <v>46437</v>
      </c>
      <c r="G14" s="38" t="s">
        <v>1150</v>
      </c>
      <c r="H14" s="48" t="n">
        <f aca="false">IF(G14="Cumplido",MAX(0,F14-E14),MAX(0,Fecha_Corte-E14))</f>
        <v>0</v>
      </c>
      <c r="I14" s="17" t="str">
        <f aca="false">IF(G14="Cumplido",IF(F14&lt;=E14,"Sí","No"),"")</f>
        <v>Sí</v>
      </c>
    </row>
    <row r="15" customFormat="false" ht="26.85" hidden="false" customHeight="false" outlineLevel="0" collapsed="false">
      <c r="A15" s="38" t="s">
        <v>1151</v>
      </c>
      <c r="B15" s="38" t="s">
        <v>1135</v>
      </c>
      <c r="C15" s="39" t="s">
        <v>1152</v>
      </c>
      <c r="D15" s="38" t="s">
        <v>276</v>
      </c>
      <c r="E15" s="44" t="n">
        <v>46477</v>
      </c>
      <c r="F15" s="44" t="n">
        <v>46476</v>
      </c>
      <c r="G15" s="38" t="s">
        <v>1150</v>
      </c>
      <c r="H15" s="48" t="n">
        <f aca="false">IF(G15="Cumplido",MAX(0,F15-E15),MAX(0,Fecha_Corte-E15))</f>
        <v>0</v>
      </c>
      <c r="I15" s="17" t="str">
        <f aca="false">IF(G15="Cumplido",IF(F15&lt;=E15,"Sí","No"),"")</f>
        <v>Sí</v>
      </c>
    </row>
    <row r="16" customFormat="false" ht="15" hidden="false" customHeight="false" outlineLevel="0" collapsed="false">
      <c r="A16" s="38" t="s">
        <v>1153</v>
      </c>
      <c r="B16" s="38" t="s">
        <v>1135</v>
      </c>
      <c r="C16" s="39" t="s">
        <v>1154</v>
      </c>
      <c r="D16" s="38" t="s">
        <v>50</v>
      </c>
      <c r="E16" s="44" t="n">
        <v>46423</v>
      </c>
      <c r="F16" s="44" t="n">
        <v>46422</v>
      </c>
      <c r="G16" s="38" t="s">
        <v>1150</v>
      </c>
      <c r="H16" s="48" t="n">
        <f aca="false">IF(G16="Cumplido",MAX(0,F16-E16),MAX(0,Fecha_Corte-E16))</f>
        <v>0</v>
      </c>
      <c r="I16" s="17" t="str">
        <f aca="false">IF(G16="Cumplido",IF(F16&lt;=E16,"Sí","No"),"")</f>
        <v>Sí</v>
      </c>
    </row>
    <row r="17" customFormat="false" ht="26.85" hidden="false" customHeight="false" outlineLevel="0" collapsed="false">
      <c r="A17" s="38" t="s">
        <v>1155</v>
      </c>
      <c r="B17" s="38" t="s">
        <v>1135</v>
      </c>
      <c r="C17" s="39" t="s">
        <v>1156</v>
      </c>
      <c r="D17" s="38" t="s">
        <v>50</v>
      </c>
      <c r="E17" s="44" t="n">
        <v>46492</v>
      </c>
      <c r="F17" s="44" t="n">
        <v>46499</v>
      </c>
      <c r="G17" s="38" t="s">
        <v>1150</v>
      </c>
      <c r="H17" s="48" t="n">
        <f aca="false">IF(G17="Cumplido",MAX(0,F17-E17),MAX(0,Fecha_Corte-E17))</f>
        <v>7</v>
      </c>
      <c r="I17" s="17" t="str">
        <f aca="false">IF(G17="Cumplido",IF(F17&lt;=E17,"Sí","No"),"")</f>
        <v>No</v>
      </c>
    </row>
    <row r="18" customFormat="false" ht="15" hidden="false" customHeight="false" outlineLevel="0" collapsed="false">
      <c r="A18" s="38" t="s">
        <v>1157</v>
      </c>
      <c r="B18" s="38" t="s">
        <v>1135</v>
      </c>
      <c r="C18" s="39" t="s">
        <v>1158</v>
      </c>
      <c r="D18" s="38" t="s">
        <v>46</v>
      </c>
      <c r="E18" s="44" t="n">
        <v>46507</v>
      </c>
      <c r="F18" s="44" t="n">
        <v>46505</v>
      </c>
      <c r="G18" s="38" t="s">
        <v>1150</v>
      </c>
      <c r="H18" s="48" t="n">
        <f aca="false">IF(G18="Cumplido",MAX(0,F18-E18),MAX(0,Fecha_Corte-E18))</f>
        <v>0</v>
      </c>
      <c r="I18" s="17" t="str">
        <f aca="false">IF(G18="Cumplido",IF(F18&lt;=E18,"Sí","No"),"")</f>
        <v>Sí</v>
      </c>
    </row>
    <row r="19" customFormat="false" ht="26.85" hidden="false" customHeight="false" outlineLevel="0" collapsed="false">
      <c r="A19" s="38" t="s">
        <v>1159</v>
      </c>
      <c r="B19" s="38" t="s">
        <v>1139</v>
      </c>
      <c r="C19" s="39" t="s">
        <v>1160</v>
      </c>
      <c r="D19" s="38" t="s">
        <v>62</v>
      </c>
      <c r="E19" s="44" t="n">
        <v>46553</v>
      </c>
      <c r="F19" s="44" t="n">
        <v>46550</v>
      </c>
      <c r="G19" s="38" t="s">
        <v>1150</v>
      </c>
      <c r="H19" s="48" t="n">
        <f aca="false">IF(G19="Cumplido",MAX(0,F19-E19),MAX(0,Fecha_Corte-E19))</f>
        <v>0</v>
      </c>
      <c r="I19" s="17" t="str">
        <f aca="false">IF(G19="Cumplido",IF(F19&lt;=E19,"Sí","No"),"")</f>
        <v>Sí</v>
      </c>
    </row>
    <row r="20" customFormat="false" ht="26.85" hidden="false" customHeight="false" outlineLevel="0" collapsed="false">
      <c r="A20" s="38" t="s">
        <v>1161</v>
      </c>
      <c r="B20" s="38" t="s">
        <v>1139</v>
      </c>
      <c r="C20" s="39" t="s">
        <v>1162</v>
      </c>
      <c r="D20" s="38" t="s">
        <v>276</v>
      </c>
      <c r="E20" s="44" t="n">
        <v>46568</v>
      </c>
      <c r="F20" s="44"/>
      <c r="G20" s="38" t="s">
        <v>989</v>
      </c>
      <c r="H20" s="48" t="n">
        <f aca="false">IF(G20="Cumplido",MAX(0,F20-E20),MAX(0,Fecha_Corte-E20))</f>
        <v>0</v>
      </c>
      <c r="I20" s="17" t="str">
        <f aca="false">IF(G20="Cumplido",IF(F20&lt;=E20,"Sí","No"),"")</f>
        <v/>
      </c>
    </row>
    <row r="21" customFormat="false" ht="26.85" hidden="false" customHeight="false" outlineLevel="0" collapsed="false">
      <c r="A21" s="38" t="s">
        <v>1163</v>
      </c>
      <c r="B21" s="38" t="s">
        <v>1139</v>
      </c>
      <c r="C21" s="39" t="s">
        <v>1164</v>
      </c>
      <c r="D21" s="38" t="s">
        <v>50</v>
      </c>
      <c r="E21" s="44" t="n">
        <v>46583</v>
      </c>
      <c r="F21" s="44"/>
      <c r="G21" s="38" t="s">
        <v>989</v>
      </c>
      <c r="H21" s="48" t="n">
        <f aca="false">IF(G21="Cumplido",MAX(0,F21-E21),MAX(0,Fecha_Corte-E21))</f>
        <v>0</v>
      </c>
      <c r="I21" s="17" t="str">
        <f aca="false">IF(G21="Cumplido",IF(F21&lt;=E21,"Sí","No"),"")</f>
        <v/>
      </c>
    </row>
    <row r="22" customFormat="false" ht="26.85" hidden="false" customHeight="false" outlineLevel="0" collapsed="false">
      <c r="A22" s="38" t="s">
        <v>1165</v>
      </c>
      <c r="B22" s="38" t="s">
        <v>1139</v>
      </c>
      <c r="C22" s="39" t="s">
        <v>1166</v>
      </c>
      <c r="D22" s="38" t="s">
        <v>29</v>
      </c>
      <c r="E22" s="44" t="n">
        <v>46558</v>
      </c>
      <c r="F22" s="44"/>
      <c r="G22" s="38" t="s">
        <v>1037</v>
      </c>
      <c r="H22" s="48" t="n">
        <f aca="false">IF(G22="Cumplido",MAX(0,F22-E22),MAX(0,Fecha_Corte-E22))</f>
        <v>10</v>
      </c>
      <c r="I22" s="17" t="str">
        <f aca="false">IF(G22="Cumplido",IF(F22&lt;=E22,"Sí","No"),"")</f>
        <v/>
      </c>
    </row>
    <row r="23" customFormat="false" ht="15" hidden="false" customHeight="false" outlineLevel="0" collapsed="false">
      <c r="A23" s="38" t="s">
        <v>1167</v>
      </c>
      <c r="B23" s="38" t="s">
        <v>1139</v>
      </c>
      <c r="C23" s="39" t="s">
        <v>1168</v>
      </c>
      <c r="D23" s="38" t="s">
        <v>276</v>
      </c>
      <c r="E23" s="44" t="n">
        <v>46553</v>
      </c>
      <c r="F23" s="44"/>
      <c r="G23" s="38" t="s">
        <v>989</v>
      </c>
      <c r="H23" s="48" t="n">
        <f aca="false">IF(G23="Cumplido",MAX(0,F23-E23),MAX(0,Fecha_Corte-E23))</f>
        <v>15</v>
      </c>
      <c r="I23" s="17" t="str">
        <f aca="false">IF(G23="Cumplido",IF(F23&lt;=E23,"Sí","No"),"")</f>
        <v/>
      </c>
    </row>
  </sheetData>
  <dataValidations count="2">
    <dataValidation allowBlank="true" error="Valor no válido" errorStyle="stop" errorTitle="Seleccione un valor de la lista" operator="between" showDropDown="false" showErrorMessage="false" showInputMessage="false" sqref="G14:G100" type="list">
      <formula1>Listas!$M$5:$M$7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D14:D100" type="list">
      <formula1>Listas!$V$5:$V$11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38"/>
  </cols>
  <sheetData>
    <row r="1" customFormat="false" ht="24" hidden="false" customHeight="true" outlineLevel="0" collapsed="false">
      <c r="A1" s="1" t="s">
        <v>1169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1170</v>
      </c>
    </row>
    <row r="4" customFormat="false" ht="39.75" hidden="false" customHeight="true" outlineLevel="0" collapsed="false">
      <c r="A4" s="14" t="s">
        <v>253</v>
      </c>
      <c r="B4" s="14" t="s">
        <v>1171</v>
      </c>
      <c r="C4" s="14" t="s">
        <v>1172</v>
      </c>
      <c r="D4" s="14" t="s">
        <v>1173</v>
      </c>
      <c r="E4" s="14" t="s">
        <v>1174</v>
      </c>
      <c r="F4" s="14" t="s">
        <v>233</v>
      </c>
      <c r="G4" s="14" t="s">
        <v>269</v>
      </c>
      <c r="H4" s="14" t="s">
        <v>804</v>
      </c>
      <c r="I4" s="14" t="s">
        <v>1175</v>
      </c>
      <c r="J4" s="14" t="s">
        <v>1176</v>
      </c>
    </row>
    <row r="5" customFormat="false" ht="15" hidden="false" customHeight="false" outlineLevel="0" collapsed="false">
      <c r="A5" s="38" t="s">
        <v>1177</v>
      </c>
      <c r="B5" s="39" t="s">
        <v>1178</v>
      </c>
      <c r="C5" s="38" t="s">
        <v>1179</v>
      </c>
      <c r="D5" s="44" t="n">
        <v>46407</v>
      </c>
      <c r="E5" s="44" t="n">
        <v>46414</v>
      </c>
      <c r="F5" s="38" t="s">
        <v>1180</v>
      </c>
      <c r="G5" s="38" t="s">
        <v>62</v>
      </c>
      <c r="H5" s="48" t="n">
        <f aca="false">IF(E5&lt;&gt;"",E5-D5,Fecha_Corte-D5)</f>
        <v>7</v>
      </c>
      <c r="I5" s="17" t="str">
        <f aca="false">IF(F5="Pendiente",IF(H5&gt;Plazo_NO,"Pendiente fuera de referencia","Pendiente dentro de referencia"),IF(H5&gt;Plazo_NO,"Respondida fuera de referencia","Respondida en referencia"))</f>
        <v>Respondida en referencia</v>
      </c>
      <c r="J5" s="39"/>
    </row>
    <row r="6" customFormat="false" ht="15" hidden="false" customHeight="false" outlineLevel="0" collapsed="false">
      <c r="A6" s="38" t="s">
        <v>1181</v>
      </c>
      <c r="B6" s="39" t="s">
        <v>1182</v>
      </c>
      <c r="C6" s="38" t="s">
        <v>1183</v>
      </c>
      <c r="D6" s="44" t="n">
        <v>46358</v>
      </c>
      <c r="E6" s="44" t="n">
        <v>46365</v>
      </c>
      <c r="F6" s="38" t="s">
        <v>1180</v>
      </c>
      <c r="G6" s="38" t="s">
        <v>62</v>
      </c>
      <c r="H6" s="48" t="n">
        <f aca="false">IF(E6&lt;&gt;"",E6-D6,Fecha_Corte-D6)</f>
        <v>7</v>
      </c>
      <c r="I6" s="17" t="str">
        <f aca="false">IF(F6="Pendiente",IF(H6&gt;Plazo_NO,"Pendiente fuera de referencia","Pendiente dentro de referencia"),IF(H6&gt;Plazo_NO,"Respondida fuera de referencia","Respondida en referencia"))</f>
        <v>Respondida en referencia</v>
      </c>
      <c r="J6" s="39"/>
    </row>
    <row r="7" customFormat="false" ht="26.85" hidden="false" customHeight="false" outlineLevel="0" collapsed="false">
      <c r="A7" s="38" t="s">
        <v>1184</v>
      </c>
      <c r="B7" s="39" t="s">
        <v>1185</v>
      </c>
      <c r="C7" s="38" t="s">
        <v>1183</v>
      </c>
      <c r="D7" s="44" t="n">
        <v>46415</v>
      </c>
      <c r="E7" s="44" t="n">
        <v>46419</v>
      </c>
      <c r="F7" s="38" t="s">
        <v>1180</v>
      </c>
      <c r="G7" s="38" t="s">
        <v>62</v>
      </c>
      <c r="H7" s="48" t="n">
        <f aca="false">IF(E7&lt;&gt;"",E7-D7,Fecha_Corte-D7)</f>
        <v>4</v>
      </c>
      <c r="I7" s="17" t="str">
        <f aca="false">IF(F7="Pendiente",IF(H7&gt;Plazo_NO,"Pendiente fuera de referencia","Pendiente dentro de referencia"),IF(H7&gt;Plazo_NO,"Respondida fuera de referencia","Respondida en referencia"))</f>
        <v>Respondida en referencia</v>
      </c>
      <c r="J7" s="39"/>
    </row>
    <row r="8" customFormat="false" ht="15" hidden="false" customHeight="false" outlineLevel="0" collapsed="false">
      <c r="A8" s="38" t="s">
        <v>1186</v>
      </c>
      <c r="B8" s="39" t="s">
        <v>1187</v>
      </c>
      <c r="C8" s="38" t="s">
        <v>1188</v>
      </c>
      <c r="D8" s="44" t="n">
        <v>46447</v>
      </c>
      <c r="E8" s="44" t="n">
        <v>46454</v>
      </c>
      <c r="F8" s="38" t="s">
        <v>1180</v>
      </c>
      <c r="G8" s="38" t="s">
        <v>62</v>
      </c>
      <c r="H8" s="48" t="n">
        <f aca="false">IF(E8&lt;&gt;"",E8-D8,Fecha_Corte-D8)</f>
        <v>7</v>
      </c>
      <c r="I8" s="17" t="str">
        <f aca="false">IF(F8="Pendiente",IF(H8&gt;Plazo_NO,"Pendiente fuera de referencia","Pendiente dentro de referencia"),IF(H8&gt;Plazo_NO,"Respondida fuera de referencia","Respondida en referencia"))</f>
        <v>Respondida en referencia</v>
      </c>
      <c r="J8" s="39"/>
    </row>
    <row r="9" customFormat="false" ht="15" hidden="false" customHeight="false" outlineLevel="0" collapsed="false">
      <c r="A9" s="38" t="s">
        <v>1189</v>
      </c>
      <c r="B9" s="39" t="s">
        <v>1190</v>
      </c>
      <c r="C9" s="38" t="s">
        <v>1183</v>
      </c>
      <c r="D9" s="44" t="n">
        <v>46430</v>
      </c>
      <c r="E9" s="44" t="n">
        <v>46437</v>
      </c>
      <c r="F9" s="38" t="s">
        <v>1180</v>
      </c>
      <c r="G9" s="38" t="s">
        <v>62</v>
      </c>
      <c r="H9" s="48" t="n">
        <f aca="false">IF(E9&lt;&gt;"",E9-D9,Fecha_Corte-D9)</f>
        <v>7</v>
      </c>
      <c r="I9" s="17" t="str">
        <f aca="false">IF(F9="Pendiente",IF(H9&gt;Plazo_NO,"Pendiente fuera de referencia","Pendiente dentro de referencia"),IF(H9&gt;Plazo_NO,"Respondida fuera de referencia","Respondida en referencia"))</f>
        <v>Respondida en referencia</v>
      </c>
      <c r="J9" s="39"/>
    </row>
    <row r="10" customFormat="false" ht="15" hidden="false" customHeight="false" outlineLevel="0" collapsed="false">
      <c r="A10" s="38" t="s">
        <v>1191</v>
      </c>
      <c r="B10" s="39" t="s">
        <v>1192</v>
      </c>
      <c r="C10" s="38" t="s">
        <v>1188</v>
      </c>
      <c r="D10" s="44" t="n">
        <v>46489</v>
      </c>
      <c r="E10" s="44" t="n">
        <v>46502</v>
      </c>
      <c r="F10" s="38" t="s">
        <v>1180</v>
      </c>
      <c r="G10" s="38" t="s">
        <v>62</v>
      </c>
      <c r="H10" s="48" t="n">
        <f aca="false">IF(E10&lt;&gt;"",E10-D10,Fecha_Corte-D10)</f>
        <v>13</v>
      </c>
      <c r="I10" s="17" t="str">
        <f aca="false">IF(F10="Pendiente",IF(H10&gt;Plazo_NO,"Pendiente fuera de referencia","Pendiente dentro de referencia"),IF(H10&gt;Plazo_NO,"Respondida fuera de referencia","Respondida en referencia"))</f>
        <v>Respondida en referencia</v>
      </c>
      <c r="J10" s="39"/>
    </row>
    <row r="11" customFormat="false" ht="39.55" hidden="false" customHeight="false" outlineLevel="0" collapsed="false">
      <c r="A11" s="38" t="s">
        <v>1193</v>
      </c>
      <c r="B11" s="39" t="s">
        <v>1194</v>
      </c>
      <c r="C11" s="38" t="s">
        <v>1010</v>
      </c>
      <c r="D11" s="44" t="n">
        <v>46461</v>
      </c>
      <c r="E11" s="44" t="n">
        <v>46489</v>
      </c>
      <c r="F11" s="38" t="s">
        <v>1195</v>
      </c>
      <c r="G11" s="38" t="s">
        <v>29</v>
      </c>
      <c r="H11" s="48" t="n">
        <f aca="false">IF(E11&lt;&gt;"",E11-D11,Fecha_Corte-D11)</f>
        <v>28</v>
      </c>
      <c r="I11" s="17" t="str">
        <f aca="false">IF(F11="Pendiente",IF(H11&gt;Plazo_NO,"Pendiente fuera de referencia","Pendiente dentro de referencia"),IF(H11&gt;Plazo_NO,"Respondida fuera de referencia","Respondida en referencia"))</f>
        <v>Respondida fuera de referencia</v>
      </c>
      <c r="J11" s="39" t="s">
        <v>1196</v>
      </c>
    </row>
    <row r="12" customFormat="false" ht="26.85" hidden="false" customHeight="false" outlineLevel="0" collapsed="false">
      <c r="A12" s="38" t="s">
        <v>1197</v>
      </c>
      <c r="B12" s="39" t="s">
        <v>1198</v>
      </c>
      <c r="C12" s="38" t="s">
        <v>1183</v>
      </c>
      <c r="D12" s="44" t="n">
        <v>46447</v>
      </c>
      <c r="E12" s="44" t="n">
        <v>46451</v>
      </c>
      <c r="F12" s="38" t="s">
        <v>1180</v>
      </c>
      <c r="G12" s="38" t="s">
        <v>62</v>
      </c>
      <c r="H12" s="48" t="n">
        <f aca="false">IF(E12&lt;&gt;"",E12-D12,Fecha_Corte-D12)</f>
        <v>4</v>
      </c>
      <c r="I12" s="17" t="str">
        <f aca="false">IF(F12="Pendiente",IF(H12&gt;Plazo_NO,"Pendiente fuera de referencia","Pendiente dentro de referencia"),IF(H12&gt;Plazo_NO,"Respondida fuera de referencia","Respondida en referencia"))</f>
        <v>Respondida en referencia</v>
      </c>
      <c r="J12" s="39"/>
    </row>
    <row r="13" customFormat="false" ht="15" hidden="false" customHeight="false" outlineLevel="0" collapsed="false">
      <c r="A13" s="38" t="s">
        <v>1199</v>
      </c>
      <c r="B13" s="39" t="s">
        <v>1200</v>
      </c>
      <c r="C13" s="38" t="s">
        <v>1188</v>
      </c>
      <c r="D13" s="44" t="n">
        <v>46517</v>
      </c>
      <c r="E13" s="44" t="n">
        <v>46533</v>
      </c>
      <c r="F13" s="38" t="s">
        <v>1180</v>
      </c>
      <c r="G13" s="38" t="s">
        <v>62</v>
      </c>
      <c r="H13" s="48" t="n">
        <f aca="false">IF(E13&lt;&gt;"",E13-D13,Fecha_Corte-D13)</f>
        <v>16</v>
      </c>
      <c r="I13" s="17" t="str">
        <f aca="false">IF(F13="Pendiente",IF(H13&gt;Plazo_NO,"Pendiente fuera de referencia","Pendiente dentro de referencia"),IF(H13&gt;Plazo_NO,"Respondida fuera de referencia","Respondida en referencia"))</f>
        <v>Respondida fuera de referencia</v>
      </c>
      <c r="J13" s="39"/>
    </row>
    <row r="14" customFormat="false" ht="15" hidden="false" customHeight="false" outlineLevel="0" collapsed="false">
      <c r="A14" s="38" t="s">
        <v>1201</v>
      </c>
      <c r="B14" s="39" t="s">
        <v>1202</v>
      </c>
      <c r="C14" s="38" t="s">
        <v>1183</v>
      </c>
      <c r="D14" s="44" t="n">
        <v>46519</v>
      </c>
      <c r="E14" s="44" t="n">
        <v>46535</v>
      </c>
      <c r="F14" s="38" t="s">
        <v>1180</v>
      </c>
      <c r="G14" s="38" t="s">
        <v>62</v>
      </c>
      <c r="H14" s="48" t="n">
        <f aca="false">IF(E14&lt;&gt;"",E14-D14,Fecha_Corte-D14)</f>
        <v>16</v>
      </c>
      <c r="I14" s="17" t="str">
        <f aca="false">IF(F14="Pendiente",IF(H14&gt;Plazo_NO,"Pendiente fuera de referencia","Pendiente dentro de referencia"),IF(H14&gt;Plazo_NO,"Respondida fuera de referencia","Respondida en referencia"))</f>
        <v>Respondida fuera de referencia</v>
      </c>
      <c r="J14" s="39"/>
    </row>
    <row r="15" customFormat="false" ht="15" hidden="false" customHeight="false" outlineLevel="0" collapsed="false">
      <c r="A15" s="38" t="s">
        <v>1203</v>
      </c>
      <c r="B15" s="39" t="s">
        <v>1204</v>
      </c>
      <c r="C15" s="38" t="s">
        <v>1183</v>
      </c>
      <c r="D15" s="44" t="n">
        <v>46532</v>
      </c>
      <c r="E15" s="44" t="n">
        <v>46538</v>
      </c>
      <c r="F15" s="38" t="s">
        <v>1180</v>
      </c>
      <c r="G15" s="38" t="s">
        <v>62</v>
      </c>
      <c r="H15" s="48" t="n">
        <f aca="false">IF(E15&lt;&gt;"",E15-D15,Fecha_Corte-D15)</f>
        <v>6</v>
      </c>
      <c r="I15" s="17" t="str">
        <f aca="false">IF(F15="Pendiente",IF(H15&gt;Plazo_NO,"Pendiente fuera de referencia","Pendiente dentro de referencia"),IF(H15&gt;Plazo_NO,"Respondida fuera de referencia","Respondida en referencia"))</f>
        <v>Respondida en referencia</v>
      </c>
      <c r="J15" s="39"/>
    </row>
    <row r="16" customFormat="false" ht="15" hidden="false" customHeight="false" outlineLevel="0" collapsed="false">
      <c r="A16" s="38" t="s">
        <v>1205</v>
      </c>
      <c r="B16" s="39" t="s">
        <v>1206</v>
      </c>
      <c r="C16" s="38" t="s">
        <v>1183</v>
      </c>
      <c r="D16" s="44" t="n">
        <v>46548</v>
      </c>
      <c r="E16" s="44"/>
      <c r="F16" s="38" t="s">
        <v>1037</v>
      </c>
      <c r="G16" s="38" t="s">
        <v>62</v>
      </c>
      <c r="H16" s="48" t="n">
        <f aca="false">IF(E16&lt;&gt;"",E16-D16,Fecha_Corte-D16)</f>
        <v>20</v>
      </c>
      <c r="I16" s="17" t="str">
        <f aca="false">IF(F16="Pendiente",IF(H16&gt;Plazo_NO,"Pendiente fuera de referencia","Pendiente dentro de referencia"),IF(H16&gt;Plazo_NO,"Respondida fuera de referencia","Respondida en referencia"))</f>
        <v>Pendiente fuera de referencia</v>
      </c>
      <c r="J16" s="39" t="s">
        <v>1207</v>
      </c>
    </row>
    <row r="17" customFormat="false" ht="26.85" hidden="false" customHeight="false" outlineLevel="0" collapsed="false">
      <c r="A17" s="38" t="s">
        <v>1208</v>
      </c>
      <c r="B17" s="39" t="s">
        <v>1209</v>
      </c>
      <c r="C17" s="38" t="s">
        <v>1210</v>
      </c>
      <c r="D17" s="44" t="n">
        <v>46560</v>
      </c>
      <c r="E17" s="44"/>
      <c r="F17" s="38" t="s">
        <v>1037</v>
      </c>
      <c r="G17" s="38" t="s">
        <v>50</v>
      </c>
      <c r="H17" s="48" t="n">
        <f aca="false">IF(E17&lt;&gt;"",E17-D17,Fecha_Corte-D17)</f>
        <v>8</v>
      </c>
      <c r="I17" s="17" t="str">
        <f aca="false">IF(F17="Pendiente",IF(H17&gt;Plazo_NO,"Pendiente fuera de referencia","Pendiente dentro de referencia"),IF(H17&gt;Plazo_NO,"Respondida fuera de referencia","Respondida en referencia"))</f>
        <v>Pendiente dentro de referencia</v>
      </c>
      <c r="J17" s="39"/>
    </row>
  </sheetData>
  <autoFilter ref="A4:J17"/>
  <conditionalFormatting sqref="I5:I200">
    <cfRule type="cellIs" priority="2" operator="equal" aboveAverage="0" equalAverage="0" bottom="0" percent="0" rank="0" text="" dxfId="0">
      <formula>"Respondida en referencia"</formula>
    </cfRule>
    <cfRule type="cellIs" priority="3" operator="equal" aboveAverage="0" equalAverage="0" bottom="0" percent="0" rank="0" text="" dxfId="1">
      <formula>"Pendiente dentro de referencia"</formula>
    </cfRule>
    <cfRule type="cellIs" priority="4" operator="equal" aboveAverage="0" equalAverage="0" bottom="0" percent="0" rank="0" text="" dxfId="2">
      <formula>"Pendiente fuera de referencia"</formula>
    </cfRule>
    <cfRule type="cellIs" priority="5" operator="equal" aboveAverage="0" equalAverage="0" bottom="0" percent="0" rank="0" text="" dxfId="1">
      <formula>"Respondida fuera de referencia"</formula>
    </cfRule>
  </conditionalFormatting>
  <dataValidations count="3">
    <dataValidation allowBlank="true" error="Valor no válido" errorStyle="stop" errorTitle="Seleccione un valor de la lista" operator="between" showDropDown="false" showErrorMessage="false" showInputMessage="false" sqref="C5:C200" type="list">
      <formula1>"Plan de Adquisiciones,TdR / pliegos,Evaluación y adjudicación,Contrato o enmienda,MOP,Reasignación presupuestaria,Otros"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F5:F200" type="list">
      <formula1>Listas!$N$5:$N$7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G5:G200" type="list">
      <formula1>Listas!$V$5:$V$11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46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24" hidden="false" customHeight="true" outlineLevel="0" collapsed="false">
      <c r="A1" s="1" t="s">
        <v>1211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1212</v>
      </c>
    </row>
    <row r="4" customFormat="false" ht="36" hidden="false" customHeight="true" outlineLevel="0" collapsed="false">
      <c r="A4" s="14" t="s">
        <v>253</v>
      </c>
      <c r="B4" s="14" t="s">
        <v>1213</v>
      </c>
      <c r="C4" s="14" t="s">
        <v>1214</v>
      </c>
      <c r="D4" s="14" t="s">
        <v>1215</v>
      </c>
      <c r="E4" s="14" t="s">
        <v>1216</v>
      </c>
      <c r="F4" s="14" t="s">
        <v>1217</v>
      </c>
      <c r="G4" s="14" t="s">
        <v>1218</v>
      </c>
      <c r="H4" s="14" t="s">
        <v>1219</v>
      </c>
      <c r="I4" s="14" t="s">
        <v>1220</v>
      </c>
      <c r="J4" s="14" t="s">
        <v>21</v>
      </c>
      <c r="K4" s="14" t="s">
        <v>269</v>
      </c>
    </row>
    <row r="5" customFormat="false" ht="26.85" hidden="false" customHeight="false" outlineLevel="0" collapsed="false">
      <c r="A5" s="38" t="s">
        <v>270</v>
      </c>
      <c r="B5" s="39" t="s">
        <v>1221</v>
      </c>
      <c r="C5" s="39" t="s">
        <v>1222</v>
      </c>
      <c r="D5" s="38" t="n">
        <v>5</v>
      </c>
      <c r="E5" s="38" t="n">
        <v>5</v>
      </c>
      <c r="F5" s="38" t="s">
        <v>1223</v>
      </c>
      <c r="G5" s="17" t="str">
        <f aca="false">IF(AND(D5&gt;=4,E5&gt;=4),"Gestionar de cerca",IF(D5&gt;=4,"Mantener satisfecho",IF(E5&gt;=4,"Mantener informado","Monitorear")))</f>
        <v>Gestionar de cerca</v>
      </c>
      <c r="H5" s="48" t="n">
        <f aca="false">D5*E5</f>
        <v>25</v>
      </c>
      <c r="I5" s="39" t="s">
        <v>1224</v>
      </c>
      <c r="J5" s="38" t="s">
        <v>26</v>
      </c>
      <c r="K5" s="38" t="s">
        <v>29</v>
      </c>
    </row>
    <row r="6" customFormat="false" ht="26.85" hidden="false" customHeight="false" outlineLevel="0" collapsed="false">
      <c r="A6" s="38" t="s">
        <v>277</v>
      </c>
      <c r="B6" s="39" t="s">
        <v>1225</v>
      </c>
      <c r="C6" s="39" t="s">
        <v>1226</v>
      </c>
      <c r="D6" s="38" t="n">
        <v>5</v>
      </c>
      <c r="E6" s="38" t="n">
        <v>5</v>
      </c>
      <c r="F6" s="38" t="s">
        <v>1223</v>
      </c>
      <c r="G6" s="17" t="str">
        <f aca="false">IF(AND(D6&gt;=4,E6&gt;=4),"Gestionar de cerca",IF(D6&gt;=4,"Mantener satisfecho",IF(E6&gt;=4,"Mantener informado","Monitorear")))</f>
        <v>Gestionar de cerca</v>
      </c>
      <c r="H6" s="48" t="n">
        <f aca="false">D6*E6</f>
        <v>25</v>
      </c>
      <c r="I6" s="39" t="s">
        <v>1227</v>
      </c>
      <c r="J6" s="38" t="s">
        <v>26</v>
      </c>
      <c r="K6" s="38" t="s">
        <v>29</v>
      </c>
    </row>
    <row r="7" customFormat="false" ht="26.85" hidden="false" customHeight="false" outlineLevel="0" collapsed="false">
      <c r="A7" s="38" t="s">
        <v>280</v>
      </c>
      <c r="B7" s="39" t="s">
        <v>1085</v>
      </c>
      <c r="C7" s="39" t="s">
        <v>1228</v>
      </c>
      <c r="D7" s="38" t="n">
        <v>5</v>
      </c>
      <c r="E7" s="38" t="n">
        <v>5</v>
      </c>
      <c r="F7" s="38" t="s">
        <v>1229</v>
      </c>
      <c r="G7" s="17" t="str">
        <f aca="false">IF(AND(D7&gt;=4,E7&gt;=4),"Gestionar de cerca",IF(D7&gt;=4,"Mantener satisfecho",IF(E7&gt;=4,"Mantener informado","Monitorear")))</f>
        <v>Gestionar de cerca</v>
      </c>
      <c r="H7" s="48" t="n">
        <f aca="false">D7*E7</f>
        <v>25</v>
      </c>
      <c r="I7" s="39" t="s">
        <v>1230</v>
      </c>
      <c r="J7" s="38" t="s">
        <v>63</v>
      </c>
      <c r="K7" s="38" t="s">
        <v>29</v>
      </c>
    </row>
    <row r="8" customFormat="false" ht="26.85" hidden="false" customHeight="false" outlineLevel="0" collapsed="false">
      <c r="A8" s="38" t="s">
        <v>1231</v>
      </c>
      <c r="B8" s="39" t="s">
        <v>1232</v>
      </c>
      <c r="C8" s="39" t="s">
        <v>1233</v>
      </c>
      <c r="D8" s="38" t="n">
        <v>4</v>
      </c>
      <c r="E8" s="38" t="n">
        <v>3</v>
      </c>
      <c r="F8" s="38" t="s">
        <v>1234</v>
      </c>
      <c r="G8" s="17" t="str">
        <f aca="false">IF(AND(D8&gt;=4,E8&gt;=4),"Gestionar de cerca",IF(D8&gt;=4,"Mantener satisfecho",IF(E8&gt;=4,"Mantener informado","Monitorear")))</f>
        <v>Mantener satisfecho</v>
      </c>
      <c r="H8" s="48" t="n">
        <f aca="false">D8*E8</f>
        <v>12</v>
      </c>
      <c r="I8" s="39" t="s">
        <v>1235</v>
      </c>
      <c r="J8" s="38" t="s">
        <v>51</v>
      </c>
      <c r="K8" s="38" t="s">
        <v>50</v>
      </c>
    </row>
    <row r="9" customFormat="false" ht="26.85" hidden="false" customHeight="false" outlineLevel="0" collapsed="false">
      <c r="A9" s="38" t="s">
        <v>1236</v>
      </c>
      <c r="B9" s="39" t="s">
        <v>1237</v>
      </c>
      <c r="C9" s="39" t="s">
        <v>1238</v>
      </c>
      <c r="D9" s="38" t="n">
        <v>4</v>
      </c>
      <c r="E9" s="38" t="n">
        <v>5</v>
      </c>
      <c r="F9" s="38" t="s">
        <v>1229</v>
      </c>
      <c r="G9" s="17" t="str">
        <f aca="false">IF(AND(D9&gt;=4,E9&gt;=4),"Gestionar de cerca",IF(D9&gt;=4,"Mantener satisfecho",IF(E9&gt;=4,"Mantener informado","Monitorear")))</f>
        <v>Gestionar de cerca</v>
      </c>
      <c r="H9" s="48" t="n">
        <f aca="false">D9*E9</f>
        <v>20</v>
      </c>
      <c r="I9" s="39" t="s">
        <v>1239</v>
      </c>
      <c r="J9" s="38" t="s">
        <v>26</v>
      </c>
      <c r="K9" s="38" t="s">
        <v>46</v>
      </c>
    </row>
    <row r="10" customFormat="false" ht="26.85" hidden="false" customHeight="false" outlineLevel="0" collapsed="false">
      <c r="A10" s="38" t="s">
        <v>1240</v>
      </c>
      <c r="B10" s="39" t="s">
        <v>1241</v>
      </c>
      <c r="C10" s="39" t="s">
        <v>1242</v>
      </c>
      <c r="D10" s="38" t="n">
        <v>4</v>
      </c>
      <c r="E10" s="38" t="n">
        <v>2</v>
      </c>
      <c r="F10" s="38" t="s">
        <v>1234</v>
      </c>
      <c r="G10" s="17" t="str">
        <f aca="false">IF(AND(D10&gt;=4,E10&gt;=4),"Gestionar de cerca",IF(D10&gt;=4,"Mantener satisfecho",IF(E10&gt;=4,"Mantener informado","Monitorear")))</f>
        <v>Mantener satisfecho</v>
      </c>
      <c r="H10" s="48" t="n">
        <f aca="false">D10*E10</f>
        <v>8</v>
      </c>
      <c r="I10" s="39" t="s">
        <v>1243</v>
      </c>
      <c r="J10" s="38" t="s">
        <v>1244</v>
      </c>
      <c r="K10" s="38" t="s">
        <v>50</v>
      </c>
    </row>
    <row r="11" customFormat="false" ht="26.85" hidden="false" customHeight="false" outlineLevel="0" collapsed="false">
      <c r="A11" s="38" t="s">
        <v>1245</v>
      </c>
      <c r="B11" s="39" t="s">
        <v>1246</v>
      </c>
      <c r="C11" s="39" t="s">
        <v>1247</v>
      </c>
      <c r="D11" s="38" t="n">
        <v>3</v>
      </c>
      <c r="E11" s="38" t="n">
        <v>5</v>
      </c>
      <c r="F11" s="38" t="s">
        <v>1229</v>
      </c>
      <c r="G11" s="17" t="str">
        <f aca="false">IF(AND(D11&gt;=4,E11&gt;=4),"Gestionar de cerca",IF(D11&gt;=4,"Mantener satisfecho",IF(E11&gt;=4,"Mantener informado","Monitorear")))</f>
        <v>Mantener informado</v>
      </c>
      <c r="H11" s="48" t="n">
        <f aca="false">D11*E11</f>
        <v>15</v>
      </c>
      <c r="I11" s="39" t="s">
        <v>1248</v>
      </c>
      <c r="J11" s="38" t="s">
        <v>26</v>
      </c>
      <c r="K11" s="38" t="s">
        <v>46</v>
      </c>
    </row>
    <row r="12" customFormat="false" ht="26.85" hidden="false" customHeight="false" outlineLevel="0" collapsed="false">
      <c r="A12" s="38" t="s">
        <v>1249</v>
      </c>
      <c r="B12" s="39" t="s">
        <v>1250</v>
      </c>
      <c r="C12" s="39" t="s">
        <v>1251</v>
      </c>
      <c r="D12" s="38" t="n">
        <v>3</v>
      </c>
      <c r="E12" s="38" t="n">
        <v>4</v>
      </c>
      <c r="F12" s="38" t="s">
        <v>1234</v>
      </c>
      <c r="G12" s="17" t="str">
        <f aca="false">IF(AND(D12&gt;=4,E12&gt;=4),"Gestionar de cerca",IF(D12&gt;=4,"Mantener satisfecho",IF(E12&gt;=4,"Mantener informado","Monitorear")))</f>
        <v>Mantener informado</v>
      </c>
      <c r="H12" s="48" t="n">
        <f aca="false">D12*E12</f>
        <v>12</v>
      </c>
      <c r="I12" s="39" t="s">
        <v>1252</v>
      </c>
      <c r="J12" s="38" t="s">
        <v>51</v>
      </c>
      <c r="K12" s="38" t="s">
        <v>46</v>
      </c>
    </row>
    <row r="13" customFormat="false" ht="26.85" hidden="false" customHeight="false" outlineLevel="0" collapsed="false">
      <c r="A13" s="38" t="s">
        <v>1253</v>
      </c>
      <c r="B13" s="39" t="s">
        <v>1254</v>
      </c>
      <c r="C13" s="39" t="s">
        <v>1255</v>
      </c>
      <c r="D13" s="38" t="n">
        <v>3</v>
      </c>
      <c r="E13" s="38" t="n">
        <v>4</v>
      </c>
      <c r="F13" s="38" t="s">
        <v>1234</v>
      </c>
      <c r="G13" s="17" t="str">
        <f aca="false">IF(AND(D13&gt;=4,E13&gt;=4),"Gestionar de cerca",IF(D13&gt;=4,"Mantener satisfecho",IF(E13&gt;=4,"Mantener informado","Monitorear")))</f>
        <v>Mantener informado</v>
      </c>
      <c r="H13" s="48" t="n">
        <f aca="false">D13*E13</f>
        <v>12</v>
      </c>
      <c r="I13" s="39" t="s">
        <v>1256</v>
      </c>
      <c r="J13" s="38" t="s">
        <v>51</v>
      </c>
      <c r="K13" s="38" t="s">
        <v>46</v>
      </c>
    </row>
    <row r="14" customFormat="false" ht="26.85" hidden="false" customHeight="false" outlineLevel="0" collapsed="false">
      <c r="A14" s="38" t="s">
        <v>1257</v>
      </c>
      <c r="B14" s="39" t="s">
        <v>1258</v>
      </c>
      <c r="C14" s="39" t="s">
        <v>1259</v>
      </c>
      <c r="D14" s="38" t="n">
        <v>2</v>
      </c>
      <c r="E14" s="38" t="n">
        <v>5</v>
      </c>
      <c r="F14" s="38" t="s">
        <v>1229</v>
      </c>
      <c r="G14" s="17" t="str">
        <f aca="false">IF(AND(D14&gt;=4,E14&gt;=4),"Gestionar de cerca",IF(D14&gt;=4,"Mantener satisfecho",IF(E14&gt;=4,"Mantener informado","Monitorear")))</f>
        <v>Mantener informado</v>
      </c>
      <c r="H14" s="48" t="n">
        <f aca="false">D14*E14</f>
        <v>10</v>
      </c>
      <c r="I14" s="39" t="s">
        <v>1260</v>
      </c>
      <c r="J14" s="38" t="s">
        <v>51</v>
      </c>
      <c r="K14" s="38" t="s">
        <v>46</v>
      </c>
    </row>
    <row r="15" customFormat="false" ht="26.85" hidden="false" customHeight="false" outlineLevel="0" collapsed="false">
      <c r="A15" s="38" t="s">
        <v>1261</v>
      </c>
      <c r="B15" s="39" t="s">
        <v>1262</v>
      </c>
      <c r="C15" s="39" t="s">
        <v>1263</v>
      </c>
      <c r="D15" s="38" t="n">
        <v>2</v>
      </c>
      <c r="E15" s="38" t="n">
        <v>5</v>
      </c>
      <c r="F15" s="38" t="s">
        <v>1229</v>
      </c>
      <c r="G15" s="17" t="str">
        <f aca="false">IF(AND(D15&gt;=4,E15&gt;=4),"Gestionar de cerca",IF(D15&gt;=4,"Mantener satisfecho",IF(E15&gt;=4,"Mantener informado","Monitorear")))</f>
        <v>Mantener informado</v>
      </c>
      <c r="H15" s="48" t="n">
        <f aca="false">D15*E15</f>
        <v>10</v>
      </c>
      <c r="I15" s="39" t="s">
        <v>1264</v>
      </c>
      <c r="J15" s="38" t="s">
        <v>54</v>
      </c>
      <c r="K15" s="38" t="s">
        <v>46</v>
      </c>
    </row>
    <row r="16" customFormat="false" ht="26.85" hidden="false" customHeight="false" outlineLevel="0" collapsed="false">
      <c r="A16" s="38" t="s">
        <v>1265</v>
      </c>
      <c r="B16" s="39" t="s">
        <v>1266</v>
      </c>
      <c r="C16" s="39" t="s">
        <v>1267</v>
      </c>
      <c r="D16" s="38" t="n">
        <v>2</v>
      </c>
      <c r="E16" s="38" t="n">
        <v>4</v>
      </c>
      <c r="F16" s="38" t="s">
        <v>1234</v>
      </c>
      <c r="G16" s="17" t="str">
        <f aca="false">IF(AND(D16&gt;=4,E16&gt;=4),"Gestionar de cerca",IF(D16&gt;=4,"Mantener satisfecho",IF(E16&gt;=4,"Mantener informado","Monitorear")))</f>
        <v>Mantener informado</v>
      </c>
      <c r="H16" s="48" t="n">
        <f aca="false">D16*E16</f>
        <v>8</v>
      </c>
      <c r="I16" s="39" t="s">
        <v>1268</v>
      </c>
      <c r="J16" s="38" t="s">
        <v>1269</v>
      </c>
      <c r="K16" s="38" t="s">
        <v>62</v>
      </c>
    </row>
    <row r="17" customFormat="false" ht="26.85" hidden="false" customHeight="false" outlineLevel="0" collapsed="false">
      <c r="A17" s="38" t="s">
        <v>1270</v>
      </c>
      <c r="B17" s="39" t="s">
        <v>1271</v>
      </c>
      <c r="C17" s="39" t="s">
        <v>1272</v>
      </c>
      <c r="D17" s="38" t="n">
        <v>2</v>
      </c>
      <c r="E17" s="38" t="n">
        <v>3</v>
      </c>
      <c r="F17" s="38" t="s">
        <v>1234</v>
      </c>
      <c r="G17" s="17" t="str">
        <f aca="false">IF(AND(D17&gt;=4,E17&gt;=4),"Gestionar de cerca",IF(D17&gt;=4,"Mantener satisfecho",IF(E17&gt;=4,"Mantener informado","Monitorear")))</f>
        <v>Monitorear</v>
      </c>
      <c r="H17" s="48" t="n">
        <f aca="false">D17*E17</f>
        <v>6</v>
      </c>
      <c r="I17" s="39" t="s">
        <v>1273</v>
      </c>
      <c r="J17" s="38" t="s">
        <v>51</v>
      </c>
      <c r="K17" s="38" t="s">
        <v>46</v>
      </c>
    </row>
  </sheetData>
  <autoFilter ref="A4:K17"/>
  <dataValidations count="4">
    <dataValidation allowBlank="true" error="Valor no válido" errorStyle="stop" errorTitle="Seleccione un valor de la lista" operator="between" showDropDown="false" showErrorMessage="false" showInputMessage="false" sqref="D5:D200" type="list">
      <formula1>Listas!$T$5:$T$9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E5:E200" type="list">
      <formula1>Listas!$T$5:$T$9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F5:F200" type="list">
      <formula1>Listas!$R$5:$R$8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K5:K200" type="list">
      <formula1>Listas!$V$5:$V$11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44"/>
    <col collapsed="false" customWidth="true" hidden="false" outlineLevel="0" max="5" min="4" style="0" width="13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</cols>
  <sheetData>
    <row r="1" customFormat="false" ht="24" hidden="false" customHeight="true" outlineLevel="0" collapsed="false">
      <c r="A1" s="1" t="s">
        <v>1274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1275</v>
      </c>
    </row>
    <row r="4" customFormat="false" ht="33.75" hidden="false" customHeight="true" outlineLevel="0" collapsed="false">
      <c r="A4" s="14" t="s">
        <v>1276</v>
      </c>
      <c r="B4" s="14" t="s">
        <v>285</v>
      </c>
      <c r="C4" s="14" t="s">
        <v>1277</v>
      </c>
      <c r="D4" s="14" t="s">
        <v>448</v>
      </c>
      <c r="E4" s="14" t="s">
        <v>1278</v>
      </c>
      <c r="F4" s="14" t="s">
        <v>1279</v>
      </c>
      <c r="G4" s="14" t="s">
        <v>1280</v>
      </c>
      <c r="H4" s="14" t="s">
        <v>1281</v>
      </c>
      <c r="I4" s="14" t="s">
        <v>1282</v>
      </c>
      <c r="J4" s="14" t="s">
        <v>1283</v>
      </c>
    </row>
    <row r="5" customFormat="false" ht="15" hidden="false" customHeight="false" outlineLevel="0" collapsed="false">
      <c r="A5" s="15" t="s">
        <v>1284</v>
      </c>
      <c r="B5" s="15" t="s">
        <v>1285</v>
      </c>
      <c r="C5" s="11" t="s">
        <v>1286</v>
      </c>
      <c r="D5" s="69" t="n">
        <f aca="false">EOMONTH(Inicio_Consultoria,0)</f>
        <v>46418</v>
      </c>
      <c r="E5" s="44" t="n">
        <v>46416</v>
      </c>
      <c r="F5" s="17" t="str">
        <f aca="false">IF(E5&lt;&gt;"",IF(E5&lt;=D5,"Entregado a tiempo","Entregado con retraso"),IF(D5&lt;Fecha_Corte,"Vencido","Programado"))</f>
        <v>Entregado a tiempo</v>
      </c>
      <c r="G5" s="38" t="s">
        <v>1287</v>
      </c>
      <c r="H5" s="46" t="n">
        <f aca="false">Pago_Mensual</f>
        <v>4200</v>
      </c>
      <c r="I5" s="17" t="str">
        <f aca="false">IF(G5="Conforme","Sí","No")</f>
        <v>Sí</v>
      </c>
      <c r="J5" s="48" t="n">
        <f aca="false">IF(E5&lt;&gt;"",E5-D5,"")</f>
        <v>-2</v>
      </c>
    </row>
    <row r="6" customFormat="false" ht="26.85" hidden="false" customHeight="false" outlineLevel="0" collapsed="false">
      <c r="A6" s="15" t="s">
        <v>1288</v>
      </c>
      <c r="B6" s="15" t="s">
        <v>1289</v>
      </c>
      <c r="C6" s="11" t="s">
        <v>1290</v>
      </c>
      <c r="D6" s="69" t="n">
        <f aca="false">WORKDAY(EOMONTH(Inicio_Consultoria,1),Plazo_Informe)</f>
        <v>46449</v>
      </c>
      <c r="E6" s="44" t="n">
        <v>46449</v>
      </c>
      <c r="F6" s="17" t="str">
        <f aca="false">IF(E6&lt;&gt;"",IF(E6&lt;=D6,"Entregado a tiempo","Entregado con retraso"),IF(D6&lt;Fecha_Corte,"Vencido","Programado"))</f>
        <v>Entregado a tiempo</v>
      </c>
      <c r="G6" s="38" t="s">
        <v>1287</v>
      </c>
      <c r="H6" s="46" t="n">
        <f aca="false">Pago_Mensual</f>
        <v>4200</v>
      </c>
      <c r="I6" s="17" t="str">
        <f aca="false">IF(G6="Conforme","Sí","No")</f>
        <v>Sí</v>
      </c>
      <c r="J6" s="48" t="n">
        <f aca="false">IF(E6&lt;&gt;"",E6-D6,"")</f>
        <v>0</v>
      </c>
    </row>
    <row r="7" customFormat="false" ht="26.85" hidden="false" customHeight="false" outlineLevel="0" collapsed="false">
      <c r="A7" s="15" t="s">
        <v>1291</v>
      </c>
      <c r="B7" s="15" t="s">
        <v>1289</v>
      </c>
      <c r="C7" s="11" t="s">
        <v>1290</v>
      </c>
      <c r="D7" s="69" t="n">
        <f aca="false">WORKDAY(EOMONTH(Inicio_Consultoria,2),Plazo_Informe)</f>
        <v>46482</v>
      </c>
      <c r="E7" s="44" t="n">
        <v>46483</v>
      </c>
      <c r="F7" s="17" t="str">
        <f aca="false">IF(E7&lt;&gt;"",IF(E7&lt;=D7,"Entregado a tiempo","Entregado con retraso"),IF(D7&lt;Fecha_Corte,"Vencido","Programado"))</f>
        <v>Entregado con retraso</v>
      </c>
      <c r="G7" s="38" t="s">
        <v>1287</v>
      </c>
      <c r="H7" s="46" t="n">
        <f aca="false">Pago_Mensual</f>
        <v>4200</v>
      </c>
      <c r="I7" s="17" t="str">
        <f aca="false">IF(G7="Conforme","Sí","No")</f>
        <v>Sí</v>
      </c>
      <c r="J7" s="48" t="n">
        <f aca="false">IF(E7&lt;&gt;"",E7-D7,"")</f>
        <v>1</v>
      </c>
    </row>
    <row r="8" customFormat="false" ht="26.85" hidden="false" customHeight="false" outlineLevel="0" collapsed="false">
      <c r="A8" s="15" t="s">
        <v>1292</v>
      </c>
      <c r="B8" s="15" t="s">
        <v>1289</v>
      </c>
      <c r="C8" s="11" t="s">
        <v>1290</v>
      </c>
      <c r="D8" s="69" t="n">
        <f aca="false">WORKDAY(EOMONTH(Inicio_Consultoria,3),Plazo_Informe)</f>
        <v>46512</v>
      </c>
      <c r="E8" s="44" t="n">
        <v>46512</v>
      </c>
      <c r="F8" s="17" t="str">
        <f aca="false">IF(E8&lt;&gt;"",IF(E8&lt;=D8,"Entregado a tiempo","Entregado con retraso"),IF(D8&lt;Fecha_Corte,"Vencido","Programado"))</f>
        <v>Entregado a tiempo</v>
      </c>
      <c r="G8" s="38" t="s">
        <v>1287</v>
      </c>
      <c r="H8" s="46" t="n">
        <f aca="false">Pago_Mensual</f>
        <v>4200</v>
      </c>
      <c r="I8" s="17" t="str">
        <f aca="false">IF(G8="Conforme","Sí","No")</f>
        <v>Sí</v>
      </c>
      <c r="J8" s="48" t="n">
        <f aca="false">IF(E8&lt;&gt;"",E8-D8,"")</f>
        <v>0</v>
      </c>
    </row>
    <row r="9" customFormat="false" ht="26.85" hidden="false" customHeight="false" outlineLevel="0" collapsed="false">
      <c r="A9" s="15" t="s">
        <v>1293</v>
      </c>
      <c r="B9" s="15" t="s">
        <v>1289</v>
      </c>
      <c r="C9" s="11" t="s">
        <v>1290</v>
      </c>
      <c r="D9" s="69" t="n">
        <f aca="false">WORKDAY(EOMONTH(Inicio_Consultoria,4),Plazo_Informe)</f>
        <v>46541</v>
      </c>
      <c r="E9" s="44" t="n">
        <v>46540</v>
      </c>
      <c r="F9" s="17" t="str">
        <f aca="false">IF(E9&lt;&gt;"",IF(E9&lt;=D9,"Entregado a tiempo","Entregado con retraso"),IF(D9&lt;Fecha_Corte,"Vencido","Programado"))</f>
        <v>Entregado a tiempo</v>
      </c>
      <c r="G9" s="38" t="s">
        <v>1287</v>
      </c>
      <c r="H9" s="46" t="n">
        <f aca="false">Pago_Mensual</f>
        <v>4200</v>
      </c>
      <c r="I9" s="17" t="str">
        <f aca="false">IF(G9="Conforme","Sí","No")</f>
        <v>Sí</v>
      </c>
      <c r="J9" s="48" t="n">
        <f aca="false">IF(E9&lt;&gt;"",E9-D9,"")</f>
        <v>-1</v>
      </c>
    </row>
    <row r="10" customFormat="false" ht="26.85" hidden="false" customHeight="false" outlineLevel="0" collapsed="false">
      <c r="A10" s="15" t="s">
        <v>1294</v>
      </c>
      <c r="B10" s="15" t="s">
        <v>1289</v>
      </c>
      <c r="C10" s="11" t="s">
        <v>1290</v>
      </c>
      <c r="D10" s="69" t="n">
        <f aca="false">WORKDAY(EOMONTH(Inicio_Consultoria,5),Plazo_Informe)</f>
        <v>46573</v>
      </c>
      <c r="E10" s="44"/>
      <c r="F10" s="17" t="str">
        <f aca="false">IF(E10&lt;&gt;"",IF(E10&lt;=D10,"Entregado a tiempo","Entregado con retraso"),IF(D10&lt;Fecha_Corte,"Vencido","Programado"))</f>
        <v>Programado</v>
      </c>
      <c r="G10" s="38" t="s">
        <v>1037</v>
      </c>
      <c r="H10" s="46" t="n">
        <f aca="false">Pago_Mensual</f>
        <v>4200</v>
      </c>
      <c r="I10" s="17" t="str">
        <f aca="false">IF(G10="Conforme","Sí","No")</f>
        <v>No</v>
      </c>
      <c r="J10" s="48" t="str">
        <f aca="false">IF(E10&lt;&gt;"",E10-D10,"")</f>
        <v/>
      </c>
    </row>
    <row r="11" customFormat="false" ht="26.85" hidden="false" customHeight="false" outlineLevel="0" collapsed="false">
      <c r="A11" s="15" t="s">
        <v>1295</v>
      </c>
      <c r="B11" s="15" t="s">
        <v>1289</v>
      </c>
      <c r="C11" s="11" t="s">
        <v>1290</v>
      </c>
      <c r="D11" s="69" t="n">
        <f aca="false">WORKDAY(EOMONTH(Inicio_Consultoria,6),Plazo_Informe)</f>
        <v>46603</v>
      </c>
      <c r="E11" s="44"/>
      <c r="F11" s="17" t="str">
        <f aca="false">IF(E11&lt;&gt;"",IF(E11&lt;=D11,"Entregado a tiempo","Entregado con retraso"),IF(D11&lt;Fecha_Corte,"Vencido","Programado"))</f>
        <v>Programado</v>
      </c>
      <c r="G11" s="38" t="s">
        <v>1037</v>
      </c>
      <c r="H11" s="46" t="n">
        <f aca="false">Pago_Mensual</f>
        <v>4200</v>
      </c>
      <c r="I11" s="17" t="str">
        <f aca="false">IF(G11="Conforme","Sí","No")</f>
        <v>No</v>
      </c>
      <c r="J11" s="48" t="str">
        <f aca="false">IF(E11&lt;&gt;"",E11-D11,"")</f>
        <v/>
      </c>
    </row>
    <row r="12" customFormat="false" ht="26.85" hidden="false" customHeight="false" outlineLevel="0" collapsed="false">
      <c r="A12" s="15" t="s">
        <v>1296</v>
      </c>
      <c r="B12" s="15" t="s">
        <v>1289</v>
      </c>
      <c r="C12" s="11" t="s">
        <v>1290</v>
      </c>
      <c r="D12" s="69" t="n">
        <f aca="false">WORKDAY(EOMONTH(Inicio_Consultoria,7),Plazo_Informe)</f>
        <v>46633</v>
      </c>
      <c r="E12" s="44"/>
      <c r="F12" s="17" t="str">
        <f aca="false">IF(E12&lt;&gt;"",IF(E12&lt;=D12,"Entregado a tiempo","Entregado con retraso"),IF(D12&lt;Fecha_Corte,"Vencido","Programado"))</f>
        <v>Programado</v>
      </c>
      <c r="G12" s="38" t="s">
        <v>1037</v>
      </c>
      <c r="H12" s="46" t="n">
        <f aca="false">Pago_Mensual</f>
        <v>4200</v>
      </c>
      <c r="I12" s="17" t="str">
        <f aca="false">IF(G12="Conforme","Sí","No")</f>
        <v>No</v>
      </c>
      <c r="J12" s="48" t="str">
        <f aca="false">IF(E12&lt;&gt;"",E12-D12,"")</f>
        <v/>
      </c>
    </row>
    <row r="13" customFormat="false" ht="26.85" hidden="false" customHeight="false" outlineLevel="0" collapsed="false">
      <c r="A13" s="15" t="s">
        <v>1297</v>
      </c>
      <c r="B13" s="15" t="s">
        <v>1289</v>
      </c>
      <c r="C13" s="11" t="s">
        <v>1290</v>
      </c>
      <c r="D13" s="69" t="n">
        <f aca="false">WORKDAY(EOMONTH(Inicio_Consultoria,8),Plazo_Informe)</f>
        <v>46665</v>
      </c>
      <c r="E13" s="44"/>
      <c r="F13" s="17" t="str">
        <f aca="false">IF(E13&lt;&gt;"",IF(E13&lt;=D13,"Entregado a tiempo","Entregado con retraso"),IF(D13&lt;Fecha_Corte,"Vencido","Programado"))</f>
        <v>Programado</v>
      </c>
      <c r="G13" s="38" t="s">
        <v>1037</v>
      </c>
      <c r="H13" s="46" t="n">
        <f aca="false">Pago_Mensual</f>
        <v>4200</v>
      </c>
      <c r="I13" s="17" t="str">
        <f aca="false">IF(G13="Conforme","Sí","No")</f>
        <v>No</v>
      </c>
      <c r="J13" s="48" t="str">
        <f aca="false">IF(E13&lt;&gt;"",E13-D13,"")</f>
        <v/>
      </c>
    </row>
    <row r="14" customFormat="false" ht="26.85" hidden="false" customHeight="false" outlineLevel="0" collapsed="false">
      <c r="A14" s="15" t="s">
        <v>1298</v>
      </c>
      <c r="B14" s="15" t="s">
        <v>1289</v>
      </c>
      <c r="C14" s="11" t="s">
        <v>1290</v>
      </c>
      <c r="D14" s="69" t="n">
        <f aca="false">WORKDAY(EOMONTH(Inicio_Consultoria,9),Plazo_Informe)</f>
        <v>46694</v>
      </c>
      <c r="E14" s="44"/>
      <c r="F14" s="17" t="str">
        <f aca="false">IF(E14&lt;&gt;"",IF(E14&lt;=D14,"Entregado a tiempo","Entregado con retraso"),IF(D14&lt;Fecha_Corte,"Vencido","Programado"))</f>
        <v>Programado</v>
      </c>
      <c r="G14" s="38" t="s">
        <v>1037</v>
      </c>
      <c r="H14" s="46" t="n">
        <f aca="false">Pago_Mensual</f>
        <v>4200</v>
      </c>
      <c r="I14" s="17" t="str">
        <f aca="false">IF(G14="Conforme","Sí","No")</f>
        <v>No</v>
      </c>
      <c r="J14" s="48" t="str">
        <f aca="false">IF(E14&lt;&gt;"",E14-D14,"")</f>
        <v/>
      </c>
    </row>
    <row r="15" customFormat="false" ht="26.85" hidden="false" customHeight="false" outlineLevel="0" collapsed="false">
      <c r="A15" s="15" t="s">
        <v>1299</v>
      </c>
      <c r="B15" s="15" t="s">
        <v>1289</v>
      </c>
      <c r="C15" s="11" t="s">
        <v>1290</v>
      </c>
      <c r="D15" s="69" t="n">
        <f aca="false">WORKDAY(EOMONTH(Inicio_Consultoria,10),Plazo_Informe)</f>
        <v>46724</v>
      </c>
      <c r="E15" s="44"/>
      <c r="F15" s="17" t="str">
        <f aca="false">IF(E15&lt;&gt;"",IF(E15&lt;=D15,"Entregado a tiempo","Entregado con retraso"),IF(D15&lt;Fecha_Corte,"Vencido","Programado"))</f>
        <v>Programado</v>
      </c>
      <c r="G15" s="38" t="s">
        <v>1037</v>
      </c>
      <c r="H15" s="46" t="n">
        <f aca="false">Pago_Mensual</f>
        <v>4200</v>
      </c>
      <c r="I15" s="17" t="str">
        <f aca="false">IF(G15="Conforme","Sí","No")</f>
        <v>No</v>
      </c>
      <c r="J15" s="48" t="str">
        <f aca="false">IF(E15&lt;&gt;"",E15-D15,"")</f>
        <v/>
      </c>
    </row>
    <row r="16" customFormat="false" ht="15" hidden="false" customHeight="false" outlineLevel="0" collapsed="false">
      <c r="A16" s="15" t="s">
        <v>1300</v>
      </c>
      <c r="B16" s="15" t="s">
        <v>1301</v>
      </c>
      <c r="C16" s="11" t="s">
        <v>1302</v>
      </c>
      <c r="D16" s="69" t="n">
        <f aca="false">DATE(YEAR(Inicio_Consultoria),12,31)-10</f>
        <v>46742</v>
      </c>
      <c r="E16" s="44"/>
      <c r="F16" s="17" t="str">
        <f aca="false">IF(E16&lt;&gt;"",IF(E16&lt;=D16,"Entregado a tiempo","Entregado con retraso"),IF(D16&lt;Fecha_Corte,"Vencido","Programado"))</f>
        <v>Programado</v>
      </c>
      <c r="G16" s="38" t="s">
        <v>1037</v>
      </c>
      <c r="H16" s="46" t="n">
        <f aca="false">Pago_Mensual</f>
        <v>4200</v>
      </c>
      <c r="I16" s="17" t="str">
        <f aca="false">IF(G16="Conforme","Sí","No")</f>
        <v>No</v>
      </c>
      <c r="J16" s="48" t="str">
        <f aca="false">IF(E16&lt;&gt;"",E16-D16,"")</f>
        <v/>
      </c>
    </row>
    <row r="18" customFormat="false" ht="15" hidden="false" customHeight="false" outlineLevel="0" collapsed="false">
      <c r="A18" s="55" t="s">
        <v>1303</v>
      </c>
    </row>
  </sheetData>
  <conditionalFormatting sqref="F5:F16">
    <cfRule type="cellIs" priority="2" operator="equal" aboveAverage="0" equalAverage="0" bottom="0" percent="0" rank="0" text="" dxfId="0">
      <formula>"Entregado a tiempo"</formula>
    </cfRule>
    <cfRule type="cellIs" priority="3" operator="equal" aboveAverage="0" equalAverage="0" bottom="0" percent="0" rank="0" text="" dxfId="1">
      <formula>"Entregado con retraso"</formula>
    </cfRule>
    <cfRule type="cellIs" priority="4" operator="equal" aboveAverage="0" equalAverage="0" bottom="0" percent="0" rank="0" text="" dxfId="2">
      <formula>"Vencido"</formula>
    </cfRule>
  </conditionalFormatting>
  <dataValidations count="1">
    <dataValidation allowBlank="true" error="Valor no válido" errorStyle="stop" errorTitle="Seleccione un valor de la lista" operator="between" showDropDown="false" showErrorMessage="false" showInputMessage="false" sqref="G5:G16" type="list">
      <formula1>Listas!$S$5:$S$7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8"/>
    <col collapsed="false" customWidth="true" hidden="false" outlineLevel="0" max="3" min="3" style="0" width="44"/>
    <col collapsed="false" customWidth="true" hidden="false" outlineLevel="0" max="4" min="4" style="0" width="26"/>
  </cols>
  <sheetData>
    <row r="1" customFormat="false" ht="24" hidden="false" customHeight="true" outlineLevel="0" collapsed="false">
      <c r="A1" s="1" t="s">
        <v>1304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5" t="s">
        <v>1305</v>
      </c>
    </row>
    <row r="4" customFormat="false" ht="25.5" hidden="false" customHeight="true" outlineLevel="0" collapsed="false">
      <c r="A4" s="14" t="s">
        <v>1306</v>
      </c>
      <c r="B4" s="14" t="s">
        <v>1307</v>
      </c>
      <c r="C4" s="14" t="s">
        <v>93</v>
      </c>
      <c r="D4" s="14" t="s">
        <v>591</v>
      </c>
    </row>
    <row r="5" customFormat="false" ht="15" hidden="false" customHeight="false" outlineLevel="0" collapsed="false">
      <c r="A5" s="11" t="s">
        <v>1308</v>
      </c>
      <c r="B5" s="11" t="s">
        <v>1309</v>
      </c>
      <c r="C5" s="70" t="n">
        <f aca="false">Fecha_Corte</f>
        <v>46568</v>
      </c>
      <c r="D5" s="15" t="s">
        <v>27</v>
      </c>
    </row>
    <row r="6" customFormat="false" ht="15" hidden="false" customHeight="false" outlineLevel="0" collapsed="false">
      <c r="A6" s="11" t="s">
        <v>1308</v>
      </c>
      <c r="B6" s="11" t="s">
        <v>1310</v>
      </c>
      <c r="C6" s="32" t="n">
        <f aca="false">P1_Avance_FF!F10</f>
        <v>0.447923076923077</v>
      </c>
      <c r="D6" s="15" t="s">
        <v>40</v>
      </c>
    </row>
    <row r="7" customFormat="false" ht="15" hidden="false" customHeight="false" outlineLevel="0" collapsed="false">
      <c r="A7" s="11" t="s">
        <v>1308</v>
      </c>
      <c r="B7" s="11" t="s">
        <v>1311</v>
      </c>
      <c r="C7" s="32" t="n">
        <f aca="false">P1_Avance_FF!G10</f>
        <v>0.525671463769721</v>
      </c>
      <c r="D7" s="15" t="s">
        <v>40</v>
      </c>
    </row>
    <row r="8" customFormat="false" ht="15" hidden="false" customHeight="false" outlineLevel="0" collapsed="false">
      <c r="A8" s="11" t="s">
        <v>1308</v>
      </c>
      <c r="B8" s="11" t="s">
        <v>1312</v>
      </c>
      <c r="C8" s="32" t="n">
        <f aca="false">P1_Avance_FF!E10</f>
        <v>0.419746153846154</v>
      </c>
      <c r="D8" s="15" t="s">
        <v>40</v>
      </c>
    </row>
    <row r="9" customFormat="false" ht="15" hidden="false" customHeight="false" outlineLevel="0" collapsed="false">
      <c r="A9" s="11" t="s">
        <v>1308</v>
      </c>
      <c r="B9" s="11" t="s">
        <v>1313</v>
      </c>
      <c r="C9" s="71" t="str">
        <f aca="false">IF(ISNUMBER(P1_Avance_FF!J10),ROUND(P1_Avance_FF!J10,2)&amp;" / "&amp;ROUND(P1_Avance_FF!K10,2),"n/a")</f>
        <v>0.85 / 1.07</v>
      </c>
      <c r="D9" s="15" t="s">
        <v>40</v>
      </c>
    </row>
    <row r="10" customFormat="false" ht="26.85" hidden="false" customHeight="false" outlineLevel="0" collapsed="false">
      <c r="A10" s="11" t="s">
        <v>1308</v>
      </c>
      <c r="B10" s="11" t="s">
        <v>1314</v>
      </c>
      <c r="C10" s="31" t="n">
        <f aca="false">COUNTIF(P1_POA!$R$5:$R$200,"Rojo")+COUNTIFS(P1_Riesgos!$H$5:$H$200,"Alto",P1_Riesgos!$M$5:$M$200,"&lt;&gt;Cerrado")+COUNTIF(N1_Cumplimiento!$K$5:$K$200,"Vencida")+COUNTIFS(A2_Misiones_BID!$E$5:$E$100,"&lt;"&amp;Fecha_Corte,A2_Misiones_BID!$G$5:$G$100,"&lt;&gt;Cumplido",A2_Misiones_BID!$A$5:$A$100,"CM-*")</f>
        <v>9</v>
      </c>
      <c r="D10" s="15" t="s">
        <v>1315</v>
      </c>
    </row>
    <row r="11" customFormat="false" ht="26.85" hidden="false" customHeight="false" outlineLevel="0" collapsed="false">
      <c r="A11" s="11" t="s">
        <v>1308</v>
      </c>
      <c r="B11" s="11" t="s">
        <v>1316</v>
      </c>
      <c r="C11" s="26" t="s">
        <v>1317</v>
      </c>
      <c r="D11" s="15" t="s">
        <v>1318</v>
      </c>
    </row>
    <row r="12" customFormat="false" ht="26.85" hidden="false" customHeight="false" outlineLevel="0" collapsed="false">
      <c r="A12" s="11" t="s">
        <v>1319</v>
      </c>
      <c r="B12" s="11" t="s">
        <v>1320</v>
      </c>
      <c r="C12" s="31" t="n">
        <f aca="false">P1_Avance_FF!M10</f>
        <v>24</v>
      </c>
      <c r="D12" s="15" t="s">
        <v>38</v>
      </c>
    </row>
    <row r="13" customFormat="false" ht="26.85" hidden="false" customHeight="false" outlineLevel="0" collapsed="false">
      <c r="A13" s="11" t="s">
        <v>1319</v>
      </c>
      <c r="B13" s="11" t="s">
        <v>1321</v>
      </c>
      <c r="C13" s="31" t="n">
        <f aca="false">COUNTIF(P1_POA!$Q$5:$Q$200,"Completada")</f>
        <v>4</v>
      </c>
      <c r="D13" s="15" t="s">
        <v>38</v>
      </c>
    </row>
    <row r="14" customFormat="false" ht="26.85" hidden="false" customHeight="false" outlineLevel="0" collapsed="false">
      <c r="A14" s="11" t="s">
        <v>1319</v>
      </c>
      <c r="B14" s="11" t="s">
        <v>1322</v>
      </c>
      <c r="C14" s="31" t="n">
        <f aca="false">P1_Avance_FF!N10</f>
        <v>14</v>
      </c>
      <c r="D14" s="15" t="s">
        <v>38</v>
      </c>
    </row>
    <row r="15" customFormat="false" ht="26.85" hidden="false" customHeight="false" outlineLevel="0" collapsed="false">
      <c r="A15" s="11" t="s">
        <v>1319</v>
      </c>
      <c r="B15" s="11" t="s">
        <v>1323</v>
      </c>
      <c r="C15" s="31" t="n">
        <f aca="false">COUNTIF(P1_POA!$Q$5:$Q$200,"Vencida sin completar")</f>
        <v>2</v>
      </c>
      <c r="D15" s="15" t="s">
        <v>38</v>
      </c>
    </row>
    <row r="16" customFormat="false" ht="15" hidden="false" customHeight="false" outlineLevel="0" collapsed="false">
      <c r="A16" s="11" t="s">
        <v>1324</v>
      </c>
      <c r="B16" s="11" t="s">
        <v>1325</v>
      </c>
      <c r="C16" s="31" t="n">
        <f aca="false">COUNTIF(P1_Resultados!$Q$5:$Q$100,"Verde")</f>
        <v>3</v>
      </c>
      <c r="D16" s="15" t="s">
        <v>34</v>
      </c>
    </row>
    <row r="17" customFormat="false" ht="15" hidden="false" customHeight="false" outlineLevel="0" collapsed="false">
      <c r="A17" s="11" t="s">
        <v>1324</v>
      </c>
      <c r="B17" s="11" t="s">
        <v>1326</v>
      </c>
      <c r="C17" s="31" t="n">
        <f aca="false">COUNTIF(P1_Resultados!$Q$5:$Q$100,"Amarillo")</f>
        <v>10</v>
      </c>
      <c r="D17" s="15" t="s">
        <v>34</v>
      </c>
    </row>
    <row r="18" customFormat="false" ht="15" hidden="false" customHeight="false" outlineLevel="0" collapsed="false">
      <c r="A18" s="11" t="s">
        <v>1324</v>
      </c>
      <c r="B18" s="11" t="s">
        <v>1327</v>
      </c>
      <c r="C18" s="31" t="n">
        <f aca="false">COUNTIF(P1_Resultados!$Q$5:$Q$100,"Rojo")</f>
        <v>2</v>
      </c>
      <c r="D18" s="15" t="s">
        <v>34</v>
      </c>
    </row>
    <row r="19" customFormat="false" ht="15" hidden="false" customHeight="false" outlineLevel="0" collapsed="false">
      <c r="A19" s="11" t="s">
        <v>1324</v>
      </c>
      <c r="B19" s="11" t="s">
        <v>1328</v>
      </c>
      <c r="C19" s="31" t="n">
        <f aca="false">COUNTIF(P1_Resultados!$Q$5:$Q$100,"Sin dato")</f>
        <v>3</v>
      </c>
      <c r="D19" s="15" t="s">
        <v>34</v>
      </c>
    </row>
    <row r="20" customFormat="false" ht="15" hidden="false" customHeight="false" outlineLevel="0" collapsed="false">
      <c r="A20" s="11" t="s">
        <v>1329</v>
      </c>
      <c r="B20" s="11" t="s">
        <v>96</v>
      </c>
      <c r="C20" s="28" t="n">
        <f aca="false">Total_Programa</f>
        <v>104000000</v>
      </c>
      <c r="D20" s="15" t="s">
        <v>27</v>
      </c>
    </row>
    <row r="21" customFormat="false" ht="15" hidden="false" customHeight="false" outlineLevel="0" collapsed="false">
      <c r="A21" s="11" t="s">
        <v>1329</v>
      </c>
      <c r="B21" s="11" t="s">
        <v>97</v>
      </c>
      <c r="C21" s="28" t="n">
        <f aca="false">F1_Presupuesto_PEP!N10</f>
        <v>2728350</v>
      </c>
      <c r="D21" s="15" t="s">
        <v>47</v>
      </c>
    </row>
    <row r="22" customFormat="false" ht="15" hidden="false" customHeight="false" outlineLevel="0" collapsed="false">
      <c r="A22" s="11" t="s">
        <v>1329</v>
      </c>
      <c r="B22" s="11" t="s">
        <v>1330</v>
      </c>
      <c r="C22" s="32" t="n">
        <f aca="false">F1_Presupuesto_PEP!O10</f>
        <v>0.0262341346153846</v>
      </c>
      <c r="D22" s="15" t="s">
        <v>47</v>
      </c>
    </row>
    <row r="23" customFormat="false" ht="15" hidden="false" customHeight="false" outlineLevel="0" collapsed="false">
      <c r="A23" s="11" t="s">
        <v>1329</v>
      </c>
      <c r="B23" s="11" t="s">
        <v>1331</v>
      </c>
      <c r="C23" s="28" t="n">
        <f aca="false">SUMIFS(F3_Plan_Financiero!$D$5:$D$20,F3_Plan_Financiero!$C$5:$C$20,"&lt;="&amp;Fecha_Corte)</f>
        <v>2730000</v>
      </c>
      <c r="D23" s="15" t="s">
        <v>58</v>
      </c>
    </row>
    <row r="24" customFormat="false" ht="15" hidden="false" customHeight="false" outlineLevel="0" collapsed="false">
      <c r="A24" s="11" t="s">
        <v>1329</v>
      </c>
      <c r="B24" s="11" t="s">
        <v>1332</v>
      </c>
      <c r="C24" s="28" t="n">
        <f aca="false">SUMIFS(F2_Ejecucion!$J$5:$J$500,F2_Ejecucion!$B$5:$B$500,"&lt;="&amp;Fecha_Corte)</f>
        <v>2728350</v>
      </c>
      <c r="D24" s="15" t="s">
        <v>52</v>
      </c>
    </row>
    <row r="25" customFormat="false" ht="15" hidden="false" customHeight="false" outlineLevel="0" collapsed="false">
      <c r="A25" s="11" t="s">
        <v>1329</v>
      </c>
      <c r="B25" s="11" t="s">
        <v>103</v>
      </c>
      <c r="C25" s="28" t="n">
        <f aca="false">F3_Desembolsos!L13</f>
        <v>2996450</v>
      </c>
      <c r="D25" s="15" t="s">
        <v>55</v>
      </c>
    </row>
    <row r="26" customFormat="false" ht="15" hidden="false" customHeight="false" outlineLevel="0" collapsed="false">
      <c r="A26" s="11" t="s">
        <v>1329</v>
      </c>
      <c r="B26" s="11" t="s">
        <v>104</v>
      </c>
      <c r="C26" s="32" t="n">
        <f aca="false">F3_Desembolsos!L8</f>
        <v>0.698229166666667</v>
      </c>
      <c r="D26" s="15" t="s">
        <v>55</v>
      </c>
    </row>
    <row r="27" customFormat="false" ht="26.85" hidden="false" customHeight="false" outlineLevel="0" collapsed="false">
      <c r="A27" s="11" t="s">
        <v>1329</v>
      </c>
      <c r="B27" s="11" t="s">
        <v>1333</v>
      </c>
      <c r="C27" s="71" t="str">
        <f aca="false">F3_Desembolsos!L15</f>
        <v>NO solicitar: justificar al 80% (faltan US$ 244250)</v>
      </c>
      <c r="D27" s="15" t="s">
        <v>55</v>
      </c>
    </row>
    <row r="28" customFormat="false" ht="15" hidden="false" customHeight="false" outlineLevel="0" collapsed="false">
      <c r="A28" s="11" t="s">
        <v>1334</v>
      </c>
      <c r="B28" s="11" t="s">
        <v>1335</v>
      </c>
      <c r="C28" s="31" t="n">
        <f aca="false">COUNTIF(F4_Plan_Adquisiciones!$A$5:$A$200,"PA-*")</f>
        <v>20</v>
      </c>
      <c r="D28" s="15" t="s">
        <v>60</v>
      </c>
    </row>
    <row r="29" customFormat="false" ht="15" hidden="false" customHeight="false" outlineLevel="0" collapsed="false">
      <c r="A29" s="11" t="s">
        <v>1334</v>
      </c>
      <c r="B29" s="11" t="s">
        <v>1336</v>
      </c>
      <c r="C29" s="31" t="n">
        <f aca="false">COUNTIF(F4_Plan_Adquisiciones!$I$5:$I$200,"Contratado")</f>
        <v>16</v>
      </c>
      <c r="D29" s="15" t="s">
        <v>60</v>
      </c>
    </row>
    <row r="30" customFormat="false" ht="15" hidden="false" customHeight="false" outlineLevel="0" collapsed="false">
      <c r="A30" s="11" t="s">
        <v>1334</v>
      </c>
      <c r="B30" s="11" t="s">
        <v>1337</v>
      </c>
      <c r="C30" s="31" t="n">
        <f aca="false">COUNTIF(F4_Plan_Adquisiciones!$P$5:$P$200,"Atrasado")</f>
        <v>1</v>
      </c>
      <c r="D30" s="15" t="s">
        <v>60</v>
      </c>
    </row>
    <row r="31" customFormat="false" ht="15" hidden="false" customHeight="false" outlineLevel="0" collapsed="false">
      <c r="A31" s="11" t="s">
        <v>1334</v>
      </c>
      <c r="B31" s="11" t="s">
        <v>1338</v>
      </c>
      <c r="C31" s="71" t="str">
        <f aca="false">COUNTIF(F5_Contratos!$N$5:$N$200,"Vigente")&amp;" / "&amp;COUNTIF(F5_Contratos!$N$5:$N$200,"Por vencer")&amp;" / "&amp;COUNTIF(F5_Contratos!$N$5:$N$200,"Vencido")</f>
        <v>11 / 2 / 3</v>
      </c>
      <c r="D31" s="15" t="s">
        <v>64</v>
      </c>
    </row>
    <row r="32" customFormat="false" ht="15" hidden="false" customHeight="false" outlineLevel="0" collapsed="false">
      <c r="A32" s="11" t="s">
        <v>1339</v>
      </c>
      <c r="B32" s="11" t="s">
        <v>1340</v>
      </c>
      <c r="C32" s="31" t="n">
        <f aca="false">COUNTIF(A3_No_Objeciones!$F$5:$F$200,"Pendiente")</f>
        <v>2</v>
      </c>
      <c r="D32" s="15" t="s">
        <v>80</v>
      </c>
    </row>
    <row r="33" customFormat="false" ht="15" hidden="false" customHeight="false" outlineLevel="0" collapsed="false">
      <c r="A33" s="11" t="s">
        <v>1339</v>
      </c>
      <c r="B33" s="11" t="s">
        <v>106</v>
      </c>
      <c r="C33" s="31" t="n">
        <f aca="false">COUNTIF(A3_No_Objeciones!$I$5:$I$200,"Pendiente fuera de referencia")</f>
        <v>1</v>
      </c>
      <c r="D33" s="15" t="s">
        <v>80</v>
      </c>
    </row>
    <row r="34" customFormat="false" ht="15" hidden="false" customHeight="false" outlineLevel="0" collapsed="false">
      <c r="A34" s="11" t="s">
        <v>1339</v>
      </c>
      <c r="B34" s="11" t="s">
        <v>107</v>
      </c>
      <c r="C34" s="31" t="n">
        <f aca="false">COUNTIFS(A2_Misiones_BID!$E$5:$E$100,"&lt;"&amp;Fecha_Corte,A2_Misiones_BID!$G$5:$G$100,"&lt;&gt;Cumplido",A2_Misiones_BID!$A$5:$A$100,"CM-*")</f>
        <v>2</v>
      </c>
      <c r="D34" s="15" t="s">
        <v>77</v>
      </c>
    </row>
    <row r="35" customFormat="false" ht="26.85" hidden="false" customHeight="false" outlineLevel="0" collapsed="false">
      <c r="A35" s="11" t="s">
        <v>1341</v>
      </c>
      <c r="B35" s="11" t="s">
        <v>108</v>
      </c>
      <c r="C35" s="31" t="n">
        <f aca="false">COUNTIFS(P1_Riesgos!$H$5:$H$200,"Alto",P1_Riesgos!$M$5:$M$200,"&lt;&gt;Cerrado")</f>
        <v>3</v>
      </c>
      <c r="D35" s="15" t="s">
        <v>42</v>
      </c>
    </row>
    <row r="36" customFormat="false" ht="26.85" hidden="false" customHeight="false" outlineLevel="0" collapsed="false">
      <c r="A36" s="11" t="s">
        <v>1341</v>
      </c>
      <c r="B36" s="11" t="s">
        <v>1342</v>
      </c>
      <c r="C36" s="31" t="n">
        <f aca="false">COUNTIFS(P1_Riesgos!$H$5:$H$200,"Medio",P1_Riesgos!$M$5:$M$200,"&lt;&gt;Cerrado")</f>
        <v>11</v>
      </c>
      <c r="D36" s="15" t="s">
        <v>42</v>
      </c>
    </row>
    <row r="37" customFormat="false" ht="26.85" hidden="false" customHeight="false" outlineLevel="0" collapsed="false">
      <c r="A37" s="11" t="s">
        <v>1341</v>
      </c>
      <c r="B37" s="11" t="s">
        <v>1343</v>
      </c>
      <c r="C37" s="71" t="str">
        <f aca="false">INDEX(P1_Riesgos!$C$5:$C$200,MATCH(1,P1_Riesgos!$T$5:$T$200,0))</f>
        <v>Retrasos en adquisiciones por observaciones en las No Objeciones</v>
      </c>
      <c r="D37" s="15" t="s">
        <v>42</v>
      </c>
    </row>
    <row r="38" customFormat="false" ht="26.85" hidden="false" customHeight="false" outlineLevel="0" collapsed="false">
      <c r="A38" s="11" t="s">
        <v>1341</v>
      </c>
      <c r="B38" s="11" t="s">
        <v>1344</v>
      </c>
      <c r="C38" s="71" t="str">
        <f aca="false">INDEX(P1_Riesgos!$C$5:$C$200,MATCH(2,P1_Riesgos!$T$5:$T$200,0))</f>
        <v>Ejecución presupuestaria por debajo del PEP</v>
      </c>
      <c r="D38" s="15" t="s">
        <v>42</v>
      </c>
    </row>
    <row r="39" customFormat="false" ht="26.85" hidden="false" customHeight="false" outlineLevel="0" collapsed="false">
      <c r="A39" s="11" t="s">
        <v>1341</v>
      </c>
      <c r="B39" s="11" t="s">
        <v>1345</v>
      </c>
      <c r="C39" s="71" t="str">
        <f aca="false">INDEX(P1_Riesgos!$C$5:$C$200,MATCH(3,P1_Riesgos!$T$5:$T$200,0))</f>
        <v>Exclusión de grupos prioritarios (discapacidad, madres jóvenes, retornados)</v>
      </c>
      <c r="D39" s="15" t="s">
        <v>42</v>
      </c>
    </row>
    <row r="40" customFormat="false" ht="26.85" hidden="false" customHeight="false" outlineLevel="0" collapsed="false">
      <c r="A40" s="11" t="s">
        <v>1346</v>
      </c>
      <c r="B40" s="11" t="s">
        <v>109</v>
      </c>
      <c r="C40" s="31" t="n">
        <f aca="false">COUNTIF(N1_Cumplimiento!$K$5:$K$200,"Vencida")</f>
        <v>1</v>
      </c>
      <c r="D40" s="15" t="s">
        <v>68</v>
      </c>
    </row>
    <row r="41" customFormat="false" ht="26.85" hidden="false" customHeight="false" outlineLevel="0" collapsed="false">
      <c r="A41" s="11" t="s">
        <v>1346</v>
      </c>
      <c r="B41" s="11" t="s">
        <v>110</v>
      </c>
      <c r="C41" s="32" t="n">
        <f aca="false">N1_Cumplimiento!O10</f>
        <v>0.888888888888889</v>
      </c>
      <c r="D41" s="15" t="s">
        <v>68</v>
      </c>
    </row>
    <row r="42" customFormat="false" ht="26.85" hidden="false" customHeight="false" outlineLevel="0" collapsed="false">
      <c r="A42" s="11" t="s">
        <v>1346</v>
      </c>
      <c r="B42" s="11" t="s">
        <v>1347</v>
      </c>
      <c r="C42" s="71" t="str">
        <f aca="false">P2_Focalizacion!G19&amp;" / "&amp;P2_Focalizacion!F19</f>
        <v>2380 / 6000</v>
      </c>
      <c r="D42" s="15" t="s">
        <v>44</v>
      </c>
    </row>
    <row r="43" customFormat="false" ht="26.85" hidden="false" customHeight="false" outlineLevel="0" collapsed="false">
      <c r="A43" s="11" t="s">
        <v>1346</v>
      </c>
      <c r="B43" s="11" t="s">
        <v>1348</v>
      </c>
      <c r="C43" s="71" t="str">
        <f aca="false">P2_Focalizacion!H19&amp;" / "&amp;P2_Focalizacion!I19&amp;" / "&amp;P2_Focalizacion!J19</f>
        <v>223 / 90 / 75</v>
      </c>
      <c r="D43" s="15" t="s">
        <v>44</v>
      </c>
    </row>
    <row r="44" customFormat="false" ht="15" hidden="false" customHeight="false" outlineLevel="0" collapsed="false">
      <c r="A44" s="11" t="s">
        <v>1349</v>
      </c>
      <c r="B44" s="11" t="s">
        <v>1350</v>
      </c>
      <c r="C44" s="71" t="str">
        <f aca="false">COUNTIF(A5_Calendario_Informes!$F$5:$F$30,"Entregado a tiempo")&amp;" de "&amp;COUNTIF(A5_Calendario_Informes!$F$5:$F$30,"Entregado*")</f>
        <v>4 de 5</v>
      </c>
      <c r="D44" s="15" t="s">
        <v>84</v>
      </c>
    </row>
    <row r="45" customFormat="false" ht="15" hidden="false" customHeight="false" outlineLevel="0" collapsed="false">
      <c r="A45" s="11" t="s">
        <v>1349</v>
      </c>
      <c r="B45" s="11" t="s">
        <v>1351</v>
      </c>
      <c r="C45" s="71" t="str">
        <f aca="false">COUNTIF(A1_Equipo!$D$5:$D$12,"Contratado")&amp;" de "&amp;COUNTA(A1_Equipo!$A$5:$A$10)</f>
        <v>5 de 6</v>
      </c>
      <c r="D45" s="15" t="s">
        <v>71</v>
      </c>
    </row>
    <row r="46" customFormat="false" ht="15" hidden="false" customHeight="false" outlineLevel="0" collapsed="false">
      <c r="A46" s="11" t="s">
        <v>1349</v>
      </c>
      <c r="B46" s="11" t="s">
        <v>1352</v>
      </c>
      <c r="C46" s="31" t="n">
        <f aca="false">COUNTIF(F6_Auditoria!$I$14:$I$100,"&gt;0")</f>
        <v>1</v>
      </c>
      <c r="D46" s="15" t="s">
        <v>66</v>
      </c>
    </row>
    <row r="47" customFormat="false" ht="39.55" hidden="false" customHeight="false" outlineLevel="0" collapsed="false">
      <c r="A47" s="11" t="s">
        <v>1353</v>
      </c>
      <c r="B47" s="11" t="s">
        <v>1354</v>
      </c>
      <c r="C47" s="26" t="s">
        <v>1355</v>
      </c>
      <c r="D47" s="15" t="s">
        <v>1318</v>
      </c>
    </row>
    <row r="48" customFormat="false" ht="26.85" hidden="false" customHeight="false" outlineLevel="0" collapsed="false">
      <c r="A48" s="11" t="s">
        <v>1353</v>
      </c>
      <c r="B48" s="11" t="s">
        <v>1356</v>
      </c>
      <c r="C48" s="26" t="s">
        <v>1357</v>
      </c>
      <c r="D48" s="15" t="s">
        <v>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9"/>
    <col collapsed="false" customWidth="true" hidden="false" outlineLevel="0" max="9" min="4" style="0" width="16"/>
    <col collapsed="false" customWidth="true" hidden="false" outlineLevel="0" max="10" min="10" style="0" width="17"/>
    <col collapsed="false" customWidth="true" hidden="false" outlineLevel="0" max="12" min="11" style="0" width="16"/>
    <col collapsed="false" customWidth="true" hidden="false" outlineLevel="0" max="13" min="13" style="0" width="21"/>
    <col collapsed="false" customWidth="true" hidden="false" outlineLevel="0" max="14" min="14" style="0" width="16"/>
    <col collapsed="false" customWidth="true" hidden="false" outlineLevel="0" max="15" min="15" style="0" width="17"/>
    <col collapsed="false" customWidth="true" hidden="false" outlineLevel="0" max="17" min="16" style="0" width="20"/>
    <col collapsed="false" customWidth="true" hidden="false" outlineLevel="0" max="24" min="18" style="0" width="16"/>
    <col collapsed="false" customWidth="true" hidden="false" outlineLevel="0" max="25" min="25" style="0" width="19"/>
  </cols>
  <sheetData>
    <row r="1" customFormat="false" ht="24" hidden="false" customHeight="true" outlineLevel="0" collapsed="false">
      <c r="A1" s="1" t="s">
        <v>1358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55" t="s">
        <v>1359</v>
      </c>
    </row>
    <row r="4" customFormat="false" ht="15" hidden="false" customHeight="false" outlineLevel="0" collapsed="false">
      <c r="A4" s="72" t="s">
        <v>420</v>
      </c>
      <c r="B4" s="72" t="s">
        <v>591</v>
      </c>
      <c r="C4" s="72" t="s">
        <v>1360</v>
      </c>
      <c r="D4" s="72" t="s">
        <v>608</v>
      </c>
      <c r="E4" s="72" t="s">
        <v>1361</v>
      </c>
      <c r="F4" s="72" t="s">
        <v>1362</v>
      </c>
      <c r="G4" s="72" t="s">
        <v>527</v>
      </c>
      <c r="H4" s="72" t="s">
        <v>1363</v>
      </c>
      <c r="I4" s="72" t="s">
        <v>1364</v>
      </c>
      <c r="J4" s="72" t="s">
        <v>1365</v>
      </c>
      <c r="K4" s="72" t="s">
        <v>1366</v>
      </c>
      <c r="L4" s="72" t="s">
        <v>1367</v>
      </c>
      <c r="M4" s="72" t="s">
        <v>1368</v>
      </c>
      <c r="N4" s="72" t="s">
        <v>1369</v>
      </c>
      <c r="O4" s="72" t="s">
        <v>1370</v>
      </c>
      <c r="P4" s="72" t="s">
        <v>1371</v>
      </c>
      <c r="Q4" s="72" t="s">
        <v>1372</v>
      </c>
      <c r="R4" s="72" t="s">
        <v>1217</v>
      </c>
      <c r="S4" s="72" t="s">
        <v>1280</v>
      </c>
      <c r="T4" s="72" t="s">
        <v>1373</v>
      </c>
      <c r="U4" s="72" t="s">
        <v>1374</v>
      </c>
      <c r="V4" s="72" t="s">
        <v>269</v>
      </c>
      <c r="W4" s="72" t="s">
        <v>995</v>
      </c>
      <c r="X4" s="72" t="s">
        <v>1375</v>
      </c>
      <c r="Y4" s="72" t="s">
        <v>1376</v>
      </c>
    </row>
    <row r="5" customFormat="false" ht="15" hidden="false" customHeight="false" outlineLevel="0" collapsed="false">
      <c r="A5" s="73" t="s">
        <v>287</v>
      </c>
      <c r="B5" s="73" t="s">
        <v>596</v>
      </c>
      <c r="C5" s="73" t="s">
        <v>167</v>
      </c>
      <c r="D5" s="73" t="s">
        <v>616</v>
      </c>
      <c r="E5" s="73" t="s">
        <v>615</v>
      </c>
      <c r="F5" s="73" t="s">
        <v>617</v>
      </c>
      <c r="G5" s="73" t="s">
        <v>613</v>
      </c>
      <c r="H5" s="73" t="s">
        <v>884</v>
      </c>
      <c r="I5" s="73" t="s">
        <v>1377</v>
      </c>
      <c r="J5" s="73" t="s">
        <v>718</v>
      </c>
      <c r="K5" s="73" t="s">
        <v>861</v>
      </c>
      <c r="L5" s="73" t="s">
        <v>1037</v>
      </c>
      <c r="M5" s="73" t="s">
        <v>1037</v>
      </c>
      <c r="N5" s="73" t="s">
        <v>1037</v>
      </c>
      <c r="O5" s="73" t="s">
        <v>471</v>
      </c>
      <c r="P5" s="73" t="s">
        <v>477</v>
      </c>
      <c r="Q5" s="73" t="s">
        <v>460</v>
      </c>
      <c r="R5" s="73" t="s">
        <v>1223</v>
      </c>
      <c r="S5" s="73" t="s">
        <v>1287</v>
      </c>
      <c r="T5" s="73" t="n">
        <v>1</v>
      </c>
      <c r="U5" s="73" t="s">
        <v>288</v>
      </c>
      <c r="V5" s="73" t="s">
        <v>29</v>
      </c>
      <c r="W5" s="73" t="s">
        <v>1002</v>
      </c>
      <c r="X5" s="73" t="s">
        <v>958</v>
      </c>
      <c r="Y5" s="73" t="s">
        <v>992</v>
      </c>
    </row>
    <row r="6" customFormat="false" ht="15" hidden="false" customHeight="false" outlineLevel="0" collapsed="false">
      <c r="A6" s="73" t="s">
        <v>273</v>
      </c>
      <c r="B6" s="73" t="s">
        <v>597</v>
      </c>
      <c r="C6" s="73" t="s">
        <v>642</v>
      </c>
      <c r="D6" s="73" t="s">
        <v>1378</v>
      </c>
      <c r="E6" s="73" t="s">
        <v>1379</v>
      </c>
      <c r="F6" s="73" t="s">
        <v>756</v>
      </c>
      <c r="G6" s="73" t="s">
        <v>543</v>
      </c>
      <c r="H6" s="73" t="s">
        <v>864</v>
      </c>
      <c r="I6" s="73" t="s">
        <v>890</v>
      </c>
      <c r="J6" s="73" t="s">
        <v>1380</v>
      </c>
      <c r="K6" s="73" t="s">
        <v>867</v>
      </c>
      <c r="L6" s="73" t="s">
        <v>989</v>
      </c>
      <c r="M6" s="73" t="s">
        <v>989</v>
      </c>
      <c r="N6" s="73" t="s">
        <v>1180</v>
      </c>
      <c r="O6" s="73" t="s">
        <v>462</v>
      </c>
      <c r="P6" s="73" t="s">
        <v>195</v>
      </c>
      <c r="Q6" s="73" t="s">
        <v>505</v>
      </c>
      <c r="R6" s="73" t="s">
        <v>1229</v>
      </c>
      <c r="S6" s="73" t="s">
        <v>1195</v>
      </c>
      <c r="T6" s="73" t="n">
        <v>2</v>
      </c>
      <c r="U6" s="73" t="s">
        <v>254</v>
      </c>
      <c r="V6" s="73" t="s">
        <v>50</v>
      </c>
      <c r="W6" s="73" t="s">
        <v>1381</v>
      </c>
      <c r="X6" s="73" t="s">
        <v>966</v>
      </c>
      <c r="Y6" s="73" t="s">
        <v>989</v>
      </c>
    </row>
    <row r="7" customFormat="false" ht="15" hidden="false" customHeight="false" outlineLevel="0" collapsed="false">
      <c r="A7" s="73" t="s">
        <v>282</v>
      </c>
      <c r="C7" s="73" t="s">
        <v>718</v>
      </c>
      <c r="D7" s="73" t="s">
        <v>656</v>
      </c>
      <c r="F7" s="73" t="s">
        <v>657</v>
      </c>
      <c r="G7" s="73" t="s">
        <v>545</v>
      </c>
      <c r="H7" s="73" t="s">
        <v>866</v>
      </c>
      <c r="I7" s="73" t="s">
        <v>876</v>
      </c>
      <c r="J7" s="73" t="s">
        <v>642</v>
      </c>
      <c r="L7" s="73" t="s">
        <v>1006</v>
      </c>
      <c r="M7" s="73" t="s">
        <v>1150</v>
      </c>
      <c r="N7" s="73" t="s">
        <v>1195</v>
      </c>
      <c r="O7" s="73" t="s">
        <v>1382</v>
      </c>
      <c r="P7" s="73" t="s">
        <v>457</v>
      </c>
      <c r="Q7" s="73" t="s">
        <v>1383</v>
      </c>
      <c r="R7" s="73" t="s">
        <v>1234</v>
      </c>
      <c r="S7" s="73" t="s">
        <v>1037</v>
      </c>
      <c r="T7" s="73" t="n">
        <v>3</v>
      </c>
      <c r="V7" s="73" t="s">
        <v>62</v>
      </c>
      <c r="W7" s="73" t="s">
        <v>1010</v>
      </c>
      <c r="X7" s="73" t="s">
        <v>970</v>
      </c>
      <c r="Y7" s="73" t="s">
        <v>981</v>
      </c>
    </row>
    <row r="8" customFormat="false" ht="15" hidden="false" customHeight="false" outlineLevel="0" collapsed="false">
      <c r="A8" s="73" t="s">
        <v>301</v>
      </c>
      <c r="C8" s="73" t="s">
        <v>1380</v>
      </c>
      <c r="G8" s="73" t="s">
        <v>547</v>
      </c>
      <c r="H8" s="73" t="s">
        <v>1384</v>
      </c>
      <c r="I8" s="73" t="s">
        <v>887</v>
      </c>
      <c r="J8" s="73" t="s">
        <v>859</v>
      </c>
      <c r="P8" s="73" t="s">
        <v>490</v>
      </c>
      <c r="Q8" s="73" t="s">
        <v>511</v>
      </c>
      <c r="R8" s="73" t="s">
        <v>1385</v>
      </c>
      <c r="T8" s="73" t="n">
        <v>4</v>
      </c>
      <c r="V8" s="73" t="s">
        <v>276</v>
      </c>
      <c r="W8" s="73" t="s">
        <v>1023</v>
      </c>
      <c r="X8" s="73" t="s">
        <v>981</v>
      </c>
    </row>
    <row r="9" customFormat="false" ht="15" hidden="false" customHeight="false" outlineLevel="0" collapsed="false">
      <c r="A9" s="73" t="s">
        <v>330</v>
      </c>
      <c r="C9" s="73" t="s">
        <v>678</v>
      </c>
      <c r="G9" s="73" t="s">
        <v>549</v>
      </c>
      <c r="H9" s="73" t="s">
        <v>860</v>
      </c>
      <c r="I9" s="73" t="s">
        <v>862</v>
      </c>
      <c r="J9" s="73" t="s">
        <v>870</v>
      </c>
      <c r="P9" s="73" t="s">
        <v>267</v>
      </c>
      <c r="T9" s="73" t="n">
        <v>5</v>
      </c>
      <c r="V9" s="73" t="s">
        <v>46</v>
      </c>
      <c r="W9" s="73" t="s">
        <v>1386</v>
      </c>
    </row>
    <row r="10" customFormat="false" ht="15" hidden="false" customHeight="false" outlineLevel="0" collapsed="false">
      <c r="C10" s="73" t="s">
        <v>747</v>
      </c>
      <c r="G10" s="73" t="s">
        <v>551</v>
      </c>
      <c r="H10" s="73" t="s">
        <v>1387</v>
      </c>
      <c r="I10" s="73" t="s">
        <v>1382</v>
      </c>
      <c r="P10" s="73" t="s">
        <v>508</v>
      </c>
      <c r="V10" s="73" t="s">
        <v>1085</v>
      </c>
      <c r="W10" s="73" t="s">
        <v>1052</v>
      </c>
    </row>
    <row r="11" customFormat="false" ht="15" hidden="false" customHeight="false" outlineLevel="0" collapsed="false">
      <c r="G11" s="73" t="s">
        <v>553</v>
      </c>
      <c r="H11" s="73" t="s">
        <v>1388</v>
      </c>
      <c r="V11" s="73" t="s">
        <v>1106</v>
      </c>
    </row>
    <row r="12" customFormat="false" ht="15" hidden="false" customHeight="false" outlineLevel="0" collapsed="false">
      <c r="G12" s="73" t="s">
        <v>555</v>
      </c>
      <c r="H12" s="73" t="s">
        <v>871</v>
      </c>
    </row>
    <row r="13" customFormat="false" ht="15" hidden="false" customHeight="false" outlineLevel="0" collapsed="false">
      <c r="G13" s="73" t="s">
        <v>557</v>
      </c>
    </row>
    <row r="14" customFormat="false" ht="15" hidden="false" customHeight="false" outlineLevel="0" collapsed="false">
      <c r="G14" s="73" t="s">
        <v>559</v>
      </c>
    </row>
    <row r="15" customFormat="false" ht="15" hidden="false" customHeight="false" outlineLevel="0" collapsed="false">
      <c r="G15" s="73" t="s">
        <v>561</v>
      </c>
    </row>
    <row r="16" customFormat="false" ht="15" hidden="false" customHeight="false" outlineLevel="0" collapsed="false">
      <c r="G16" s="73" t="s">
        <v>563</v>
      </c>
    </row>
    <row r="17" customFormat="false" ht="15" hidden="false" customHeight="false" outlineLevel="0" collapsed="false">
      <c r="G17" s="73" t="s">
        <v>565</v>
      </c>
    </row>
    <row r="18" customFormat="false" ht="15" hidden="false" customHeight="false" outlineLevel="0" collapsed="false">
      <c r="G18" s="73" t="s">
        <v>567</v>
      </c>
    </row>
    <row r="19" customFormat="false" ht="15" hidden="false" customHeight="false" outlineLevel="0" collapsed="false">
      <c r="G19" s="73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2026-10-20T16:35:29Z</dcterms:created>
  <dc:creator>Jessica Liset Martínez de Águila</dc:creator>
  <dc:description/>
  <dc:language>en-US</dc:language>
  <cp:lastModifiedBy/>
  <dcterms:modified xsi:type="dcterms:W3CDTF">2026-10-20T16:35:29Z</dcterms:modified>
  <cp:revision>0</cp:revision>
  <dc:subject/>
  <dc:title>UGP — Sistema integrado de control (DEMO con datos simulados)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