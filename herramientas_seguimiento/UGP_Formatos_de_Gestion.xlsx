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EME" sheetId="1" state="visible" r:id="rId3"/>
    <sheet name="Acta_Constitucion" sheetId="2" state="visible" r:id="rId4"/>
    <sheet name="Solicitud_Cambios" sheetId="3" state="visible" r:id="rId5"/>
    <sheet name="Registro_Cambios" sheetId="4" state="visible" r:id="rId6"/>
    <sheet name="Minuta_Seguimiento" sheetId="5" state="visible" r:id="rId7"/>
    <sheet name="Solicitud_No_Objecion" sheetId="6" state="visible" r:id="rId8"/>
    <sheet name="Evaluacion_3CV" sheetId="7" state="visible" r:id="rId9"/>
    <sheet name="Registro_Incidentes" sheetId="8" state="visible" r:id="rId10"/>
    <sheet name="Lecciones_Aprendidas" sheetId="9" state="visible" r:id="rId11"/>
    <sheet name="Reporte_Cierre" sheetId="10" state="visible" r:id="rId12"/>
  </sheets>
  <definedNames>
    <definedName function="false" hidden="true" localSheetId="8" name="_xlnm._FilterDatabase" vbProcedure="false">Lecciones_Aprendidas!$A$4:$H$8</definedName>
    <definedName function="false" hidden="true" localSheetId="3" name="_xlnm._FilterDatabase" vbProcedure="false">Registro_Cambios!$A$4:$I$7</definedName>
    <definedName function="false" hidden="true" localSheetId="7" name="_xlnm._FilterDatabase" vbProcedure="false">Registro_Incidentes!$A$4:$K$9</definedName>
    <definedName function="false" hidden="false" name="Fecha_Cierre_Demo" vbProcedure="false">LEEME!$E$1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<sst xmlns="http://schemas.openxmlformats.org/spreadsheetml/2006/main" count="360" uniqueCount="279">
  <si>
    <t xml:space="preserve">UGP · Formatos de gestión del Programa</t>
  </si>
  <si>
    <t xml:space="preserve">Fecha de corte simulada</t>
  </si>
  <si>
    <t xml:space="preserve">DATOS SIMULADOS con fines de demostración metodológica — no son cifras reales del BID ni de la Dirección de Integración.</t>
  </si>
  <si>
    <t xml:space="preserve">Complementa al libro «UGP_Sistema_Integrado_de_Control.xlsx». Mismos códigos de color: azul = dato ingresado; negro/gris = fórmula.</t>
  </si>
  <si>
    <t xml:space="preserve">Acta_Constitucion</t>
  </si>
  <si>
    <t xml:space="preserve">Mandato, objetivos, criterios de éxito, supuestos y restricciones de la UGP</t>
  </si>
  <si>
    <t xml:space="preserve">Solicitud_Cambios</t>
  </si>
  <si>
    <t xml:space="preserve">Solicitud de cambio y acta del Comité de Control de Cambios (CCB)</t>
  </si>
  <si>
    <t xml:space="preserve">Registro_Cambios</t>
  </si>
  <si>
    <t xml:space="preserve">Registro de cambios con decisión, No Objeción y días de resolución</t>
  </si>
  <si>
    <t xml:space="preserve">Minuta_Seguimiento</t>
  </si>
  <si>
    <t xml:space="preserve">Minuta de reunión con matriz de compromisos</t>
  </si>
  <si>
    <t xml:space="preserve">Solicitud_No_Objecion</t>
  </si>
  <si>
    <t xml:space="preserve">Lista de verificación previa al envío de una No Objeción al BID</t>
  </si>
  <si>
    <t xml:space="preserve">Evaluacion_3CV</t>
  </si>
  <si>
    <t xml:space="preserve">Calculadora del puntaje técnico sobre 100 puntos con los criterios de la sección XV del TDR</t>
  </si>
  <si>
    <t xml:space="preserve">Registro_Incidentes</t>
  </si>
  <si>
    <t xml:space="preserve">Registro de incidentes con prioridad, vencimiento y conteos</t>
  </si>
  <si>
    <t xml:space="preserve">Lecciones_Aprendidas</t>
  </si>
  <si>
    <t xml:space="preserve">Matriz de lecciones aprendidas y porcentaje aplicado</t>
  </si>
  <si>
    <t xml:space="preserve">Reporte_Cierre</t>
  </si>
  <si>
    <t xml:space="preserve">Informe de cierre con variaciones de costo y plazo</t>
  </si>
  <si>
    <t xml:space="preserve">Origen: los formatos parten del archivo de ejemplo de la autora (acta, cambios, minuta, incidentes, lecciones, cierre) y se ampliaron con las exigencias de un Programa BID.</t>
  </si>
  <si>
    <t xml:space="preserve">Los nombres, fechas y montos son ficticios. Sustituir por la información oficial al usar los formatos en un Programa real.</t>
  </si>
  <si>
    <t xml:space="preserve">Acta de constitución de la UGP — Programa de Integración Académica y Comunitaria</t>
  </si>
  <si>
    <t xml:space="preserve">Formato PMBOK adaptado al ciclo BID: documenta el mandato, los objetivos, los supuestos y las restricciones antes de ejecutar.</t>
  </si>
  <si>
    <t xml:space="preserve">Programa</t>
  </si>
  <si>
    <t xml:space="preserve">Programa de Integración Académica y Comunitaria para Jóvenes en El Salvador (ES-L1175)</t>
  </si>
  <si>
    <t xml:space="preserve">Operaciones</t>
  </si>
  <si>
    <t xml:space="preserve">Préstamo 6153/OC-ES (US$100 millones) y cooperación no reembolsable 6154/GR-ES (US$4 millones) — importes del TDR; verificar contra el contrato.</t>
  </si>
  <si>
    <t xml:space="preserve">Organismo Ejecutor</t>
  </si>
  <si>
    <t xml:space="preserve">Dirección de Integración — UGP bajo la Gerencia de Cooperación Institucional</t>
  </si>
  <si>
    <t xml:space="preserve">Patrocinador</t>
  </si>
  <si>
    <t xml:space="preserve">Dirección General de la Dirección de Integración (ficticio para la demostración)</t>
  </si>
  <si>
    <t xml:space="preserve">Coordinador General</t>
  </si>
  <si>
    <t xml:space="preserve">Por designar (cargo del proceso 3CV)</t>
  </si>
  <si>
    <t xml:space="preserve">Propósito del Programa</t>
  </si>
  <si>
    <t xml:space="preserve">Asegurar la trayectoria educativa de los jóvenes salvadoreños mediante la integración académica y comunitaria, evitando la deserción en la transición entre niveles.</t>
  </si>
  <si>
    <t xml:space="preserve">Objetivos de la UGP</t>
  </si>
  <si>
    <t xml:space="preserve">1) Planificar y controlar el avance físico y financiero.
2) Gestionar los aspectos fiduciarios (presupuesto, desembolsos, adquisiciones y auditorías).
3) Asegurar el cumplimiento del contrato, del MOP y de las políticas del BID.
4) Articular con el BID y reportar mensualmente.</t>
  </si>
  <si>
    <t xml:space="preserve">Criterios de éxito</t>
  </si>
  <si>
    <t xml:space="preserve">• Ejecución anual del POA ≥ 90% y SPI/CPI ≥ 0,95.
• Anticipos justificados ≥ 80% antes de solicitar nuevos desembolsos.
• Cero hallazgos sin plan de acción en las auditorías.
• Informe mensual entregado en el plazo del TDR.</t>
  </si>
  <si>
    <t xml:space="preserve">Requisitos de alto nivel</t>
  </si>
  <si>
    <t xml:space="preserve">Sistema único de control (libro de gastos como fuente de la ejecución), Plan de Adquisiciones vigente, matriz de resultados con línea base y metas, registro de riesgos y matriz de cumplimiento actualizados.</t>
  </si>
  <si>
    <t xml:space="preserve">Supuestos de alto nivel</t>
  </si>
  <si>
    <t xml:space="preserve">• El contrato de préstamo y el MOP están vigentes y disponibles para la UGP.
• La Dirección de Integración provee acceso a los sistemas de información institucionales.
• El BID mantiene el plazo de referencia para No Objeciones.</t>
  </si>
  <si>
    <t xml:space="preserve">Restricciones</t>
  </si>
  <si>
    <t xml:space="preserve">Normas de adquisiciones y consultores del BID (GN-2349-15 y GN-2350-15); período de desembolsos del contrato; reglas de elegibilidad de gastos.</t>
  </si>
  <si>
    <t xml:space="preserve">Riesgos iniciales</t>
  </si>
  <si>
    <t xml:space="preserve">Retraso en selección de consultores clave; baja justificación de anticipos; demora en No Objeciones; cobertura territorial desigual (ver P1_Riesgos del libro integrado).</t>
  </si>
  <si>
    <t xml:space="preserve">Hitos principales</t>
  </si>
  <si>
    <t xml:space="preserve">Instalación de la UGP y plazas clave; MOP validado; primer Plan de Adquisiciones aprobado; primer desembolso; línea base de indicadores; primera misión de administración.</t>
  </si>
  <si>
    <t xml:space="preserve">Presupuesto resumido</t>
  </si>
  <si>
    <t xml:space="preserve">Ver F1_Presupuesto_PEP del libro integrado.</t>
  </si>
  <si>
    <t xml:space="preserve">Autoridad del Coordinador</t>
  </si>
  <si>
    <t xml:space="preserve">Conduce a la UGP; punto focal con el BID; propone cambios al CCB; escala riesgos altos y desvíos de SPI/CPI al patrocinador.</t>
  </si>
  <si>
    <t xml:space="preserve">Aprobaciones</t>
  </si>
  <si>
    <t xml:space="preserve">Patrocinador: ____________________   Fecha: ____ / ____ / ______
Coordinador General: ____________________   Fecha: ____ / ____ / ______</t>
  </si>
  <si>
    <t xml:space="preserve">Todo cambio al alcance, cronograma, presupuesto o Plan de Adquisiciones pasa por el CCB; los que exigen No Objeción se registran en A3 del libro integrado.</t>
  </si>
  <si>
    <t xml:space="preserve">N.º de solicitud</t>
  </si>
  <si>
    <t xml:space="preserve">CC-001</t>
  </si>
  <si>
    <t xml:space="preserve">Fecha</t>
  </si>
  <si>
    <t xml:space="preserve">Asistentes</t>
  </si>
  <si>
    <t xml:space="preserve">Coordinador General · Esp. Financiero · Esp. Adquisiciones · Esp. Planificación M&amp;S · Esp. Social</t>
  </si>
  <si>
    <t xml:space="preserve">Asunto</t>
  </si>
  <si>
    <t xml:space="preserve">Reprogramación de la contratación de la plataforma de seguimiento de trayectorias (PA-12)</t>
  </si>
  <si>
    <t xml:space="preserve">Tipo de cambio</t>
  </si>
  <si>
    <t xml:space="preserve">Acción correctiva</t>
  </si>
  <si>
    <t xml:space="preserve">Detalle</t>
  </si>
  <si>
    <t xml:space="preserve">La preparación de los documentos de contratación acumula atraso frente al Plan de Adquisiciones. Se propone mover la publicación del proceso al mes siguiente y ajustar el hito asociado del POA.</t>
  </si>
  <si>
    <t xml:space="preserve">Impacto en alcance</t>
  </si>
  <si>
    <t xml:space="preserve">Ninguno.</t>
  </si>
  <si>
    <t xml:space="preserve">Impacto en cronograma</t>
  </si>
  <si>
    <t xml:space="preserve">+30 días en el hito del componente 3; ruta crítica no afectada por holgura de 15 días.</t>
  </si>
  <si>
    <t xml:space="preserve">Impacto en costo</t>
  </si>
  <si>
    <t xml:space="preserve">Sin variación del monto programado (USD).</t>
  </si>
  <si>
    <t xml:space="preserve">¿Requiere No Objeción del BID?</t>
  </si>
  <si>
    <t xml:space="preserve">Sí — modificación del Plan de Adquisiciones</t>
  </si>
  <si>
    <t xml:space="preserve">Decisión del CCB</t>
  </si>
  <si>
    <t xml:space="preserve">Aprobado</t>
  </si>
  <si>
    <t xml:space="preserve">Responsable de ejecutar</t>
  </si>
  <si>
    <t xml:space="preserve">Esp. Adquisiciones</t>
  </si>
  <si>
    <t xml:space="preserve">Fecha compromiso</t>
  </si>
  <si>
    <t xml:space="preserve">Registro de cambios aprobados, rechazados y diferidos</t>
  </si>
  <si>
    <t xml:space="preserve">Cada fila corresponde a una solicitud al CCB.</t>
  </si>
  <si>
    <t xml:space="preserve">N.º</t>
  </si>
  <si>
    <t xml:space="preserve">Tipo</t>
  </si>
  <si>
    <t xml:space="preserve">Impacto USD</t>
  </si>
  <si>
    <t xml:space="preserve">Decisión</t>
  </si>
  <si>
    <t xml:space="preserve">No Objeción</t>
  </si>
  <si>
    <t xml:space="preserve">Fecha de resolución</t>
  </si>
  <si>
    <t xml:space="preserve">Días a resolver</t>
  </si>
  <si>
    <t xml:space="preserve">Impacto USD aprobado</t>
  </si>
  <si>
    <t xml:space="preserve">Reprogramación del proceso PA-12</t>
  </si>
  <si>
    <t xml:space="preserve">Pendiente</t>
  </si>
  <si>
    <t xml:space="preserve">CC-002</t>
  </si>
  <si>
    <t xml:space="preserve">Reasignación entre categorías (C2 → C4)</t>
  </si>
  <si>
    <t xml:space="preserve">Cambio presupuestario</t>
  </si>
  <si>
    <t xml:space="preserve">Concedida</t>
  </si>
  <si>
    <t xml:space="preserve">CC-003</t>
  </si>
  <si>
    <t xml:space="preserve">Ampliación del plazo de un contrato de consultoría</t>
  </si>
  <si>
    <t xml:space="preserve">Acción preventiva</t>
  </si>
  <si>
    <t xml:space="preserve">Diferido</t>
  </si>
  <si>
    <t xml:space="preserve">N/A</t>
  </si>
  <si>
    <t xml:space="preserve">Minuta de reunión de seguimiento y matriz de compromisos</t>
  </si>
  <si>
    <t xml:space="preserve">Se emplea en reuniones internas de la UGP y en las reuniones técnicas con el BID; los compromisos alimentan A2 del libro integrado.</t>
  </si>
  <si>
    <t xml:space="preserve">Reunión</t>
  </si>
  <si>
    <t xml:space="preserve">Reunión mensual de seguimiento — corte al 30/06/2027</t>
  </si>
  <si>
    <t xml:space="preserve">Coordinador General · Esp. Financiero · Esp. Adquisiciones · Esp. Planificación M&amp;S · Esp. Social · Especialista sectorial del BID (ficticio)</t>
  </si>
  <si>
    <t xml:space="preserve">Justificación de anticipos, atrasos en adquisiciones y preparación de la misión de administración</t>
  </si>
  <si>
    <t xml:space="preserve">Temas tratados</t>
  </si>
  <si>
    <t xml:space="preserve">1) El porcentaje de anticipos justificado está por debajo del umbral de 80%; se acuerda priorizar la justificación de los apoyos del componente 2.
2) PA-12 en atraso; se presentó solicitud de cambio CC-001.
3) Preparación de la agenda de la misión: avance de indicadores, riesgos altos y compromisos vencidos.
4) Se revisó el borrador del informe mensual del período.</t>
  </si>
  <si>
    <t xml:space="preserve">Decisiones</t>
  </si>
  <si>
    <t xml:space="preserve">Congelar nuevas solicitudes de anticipo hasta superar el 80% de justificación. Aprobar el calendario de visitas territoriales de julio.</t>
  </si>
  <si>
    <t xml:space="preserve">Próxima reunión</t>
  </si>
  <si>
    <t xml:space="preserve">Compromisos</t>
  </si>
  <si>
    <t xml:space="preserve">Compromiso</t>
  </si>
  <si>
    <t xml:space="preserve">Responsable</t>
  </si>
  <si>
    <t xml:space="preserve">Fecha límite</t>
  </si>
  <si>
    <t xml:space="preserve">Estado</t>
  </si>
  <si>
    <t xml:space="preserve">M-01</t>
  </si>
  <si>
    <t xml:space="preserve">Presentar justificación de anticipos pendientes de mayo</t>
  </si>
  <si>
    <t xml:space="preserve">Esp. Financiero</t>
  </si>
  <si>
    <t xml:space="preserve">En proceso</t>
  </si>
  <si>
    <t xml:space="preserve">M-02</t>
  </si>
  <si>
    <t xml:space="preserve">Publicar proceso PA-12 con No Objeción</t>
  </si>
  <si>
    <t xml:space="preserve">M-03</t>
  </si>
  <si>
    <t xml:space="preserve">Consolidar la matriz de indicadores con avances de junio</t>
  </si>
  <si>
    <t xml:space="preserve">Esp. Planificación M&amp;S</t>
  </si>
  <si>
    <t xml:space="preserve">M-04</t>
  </si>
  <si>
    <t xml:space="preserve">Elaborar agenda y carpeta de la misión</t>
  </si>
  <si>
    <t xml:space="preserve">Solicitud de No Objeción al BID — lista de verificación previa al envío</t>
  </si>
  <si>
    <t xml:space="preserve">Verificar cada punto antes de enviar la solicitud; una solicitud incompleta es la causa más común de devoluciones y atrasos.</t>
  </si>
  <si>
    <t xml:space="preserve">N.º interno</t>
  </si>
  <si>
    <t xml:space="preserve">NO-014</t>
  </si>
  <si>
    <t xml:space="preserve">Fecha de envío</t>
  </si>
  <si>
    <t xml:space="preserve">Proceso del PA</t>
  </si>
  <si>
    <t xml:space="preserve">PA-11</t>
  </si>
  <si>
    <t xml:space="preserve">Etapa a objetar</t>
  </si>
  <si>
    <t xml:space="preserve">Informe de evaluación y recomendación de adjudicación</t>
  </si>
  <si>
    <t xml:space="preserve">Descripción</t>
  </si>
  <si>
    <t xml:space="preserve">Contratación de servicios de consultoría para la evaluación de medio término del componente 4 (ficticio).</t>
  </si>
  <si>
    <t xml:space="preserve">Monto estimado (USD)</t>
  </si>
  <si>
    <t xml:space="preserve">Método</t>
  </si>
  <si>
    <t xml:space="preserve">SBCC</t>
  </si>
  <si>
    <t xml:space="preserve">Revisión</t>
  </si>
  <si>
    <t xml:space="preserve">Ex ante</t>
  </si>
  <si>
    <t xml:space="preserve">Solicitado por</t>
  </si>
  <si>
    <t xml:space="preserve">Aprobado internamente por</t>
  </si>
  <si>
    <t xml:space="preserve">Lista de verificación</t>
  </si>
  <si>
    <t xml:space="preserve">Proceso incluido en el Plan de Adquisiciones vigente</t>
  </si>
  <si>
    <t xml:space="preserve">Sí</t>
  </si>
  <si>
    <t xml:space="preserve">Método y revisión coinciden con el PA</t>
  </si>
  <si>
    <t xml:space="preserve">Documento a objetar completo y firmado</t>
  </si>
  <si>
    <t xml:space="preserve">Cuadro de evaluación con puntajes y justificación</t>
  </si>
  <si>
    <t xml:space="preserve">Verificación de elegibilidad e integridad (GN-2349-15 / GN-2350-15)</t>
  </si>
  <si>
    <t xml:space="preserve">Disponibilidad presupuestaria confirmada (F1/F2)</t>
  </si>
  <si>
    <t xml:space="preserve">Categoría de inversión del contrato verificada</t>
  </si>
  <si>
    <t xml:space="preserve">Carta de envío firmada por la autoridad competente</t>
  </si>
  <si>
    <t xml:space="preserve">No</t>
  </si>
  <si>
    <t xml:space="preserve">Resultado</t>
  </si>
  <si>
    <t xml:space="preserve">Evaluación técnica 3CV — calculadora de puntaje sobre 100 puntos (criterios de la sección XV del TDR)</t>
  </si>
  <si>
    <t xml:space="preserve">Candidaturas ficticias. La fórmula aplica los topes del TDR; el empate se resuelve por años de experiencia demostrable.</t>
  </si>
  <si>
    <t xml:space="preserve">Concepto</t>
  </si>
  <si>
    <t xml:space="preserve">Candidatura A</t>
  </si>
  <si>
    <t xml:space="preserve">Candidatura B</t>
  </si>
  <si>
    <t xml:space="preserve">Candidatura C</t>
  </si>
  <si>
    <t xml:space="preserve">Candidatura D</t>
  </si>
  <si>
    <t xml:space="preserve">Tope TDR</t>
  </si>
  <si>
    <t xml:space="preserve">FACTORES HABILITANTES (Sí/No)</t>
  </si>
  <si>
    <t xml:space="preserve">Título universitario de grado en área afín</t>
  </si>
  <si>
    <t xml:space="preserve">≥ 1 programa/proyecto con fuentes externas</t>
  </si>
  <si>
    <t xml:space="preserve">≥ 3 años en coordinación/gerencia de proyectos</t>
  </si>
  <si>
    <t xml:space="preserve">Resultado de habilitación</t>
  </si>
  <si>
    <t xml:space="preserve">ENTRADAS</t>
  </si>
  <si>
    <t xml:space="preserve">Posgrado más alto (Maestría / Especialización / Curso / Ninguno)</t>
  </si>
  <si>
    <t xml:space="preserve">Maestría</t>
  </si>
  <si>
    <t xml:space="preserve">Especialización</t>
  </si>
  <si>
    <t xml:space="preserve">Certificación PM4R o PMP (cantidad)</t>
  </si>
  <si>
    <t xml:space="preserve">Cursos/especializaciones en gestión de proyectos (cantidad)</t>
  </si>
  <si>
    <t xml:space="preserve">Años de experiencia profesional en proyectos de desarrollo</t>
  </si>
  <si>
    <t xml:space="preserve">Años con recursos externos (planificación, seguimiento, riesgos, informes)</t>
  </si>
  <si>
    <t xml:space="preserve">Experiencias en programas financiados por el BID (cantidad)</t>
  </si>
  <si>
    <t xml:space="preserve">Entrevista (0-10)</t>
  </si>
  <si>
    <t xml:space="preserve">PUNTAJE</t>
  </si>
  <si>
    <t xml:space="preserve">1.1 Posgrado</t>
  </si>
  <si>
    <t xml:space="preserve">1.2 Certificaciones / formación en gestión de proyectos</t>
  </si>
  <si>
    <t xml:space="preserve">2.1 Experiencia profesional (5 pts por año sobre 5)</t>
  </si>
  <si>
    <t xml:space="preserve">2.2 Experiencia con recursos externos (≥ 5 años)</t>
  </si>
  <si>
    <t xml:space="preserve">2.3 Experiencia en programas BID (10 pts c/u)</t>
  </si>
  <si>
    <t xml:space="preserve">3. Entrevista</t>
  </si>
  <si>
    <t xml:space="preserve">TOTAL EVALUACIÓN TÉCNICA</t>
  </si>
  <si>
    <t xml:space="preserve">Posición (solo habilitados; desempate por años de experiencia)</t>
  </si>
  <si>
    <t xml:space="preserve">Regla del TDR: el puntaje de posgrado se otorga solo por el grado más alto; los puntos de las certificaciones se topan en 15; el empate lo decide la experiencia demostrable.</t>
  </si>
  <si>
    <t xml:space="preserve">Uso como autoevaluación: reemplazar una candidatura por los datos propios y comparar con la evidencia documental que se adjuntaría.</t>
  </si>
  <si>
    <t xml:space="preserve">Registro de incidentes y problemas del Programa</t>
  </si>
  <si>
    <t xml:space="preserve">Un incidente es un hecho que ya ocurrió (a diferencia del riesgo). Los de prioridad alta se reportan al BID en el informe mensual.</t>
  </si>
  <si>
    <t xml:space="preserve">Prioridad</t>
  </si>
  <si>
    <t xml:space="preserve">Solución / acción</t>
  </si>
  <si>
    <t xml:space="preserve">Días abiertos</t>
  </si>
  <si>
    <t xml:space="preserve">Alerta</t>
  </si>
  <si>
    <t xml:space="preserve">Abiertos</t>
  </si>
  <si>
    <t xml:space="preserve">INC-01</t>
  </si>
  <si>
    <t xml:space="preserve">Fiduciario</t>
  </si>
  <si>
    <t xml:space="preserve">Factura de proveedor sin comprobante de elegibilidad adjunto.</t>
  </si>
  <si>
    <t xml:space="preserve">Media</t>
  </si>
  <si>
    <t xml:space="preserve">Cerrado</t>
  </si>
  <si>
    <t xml:space="preserve">Se completó el expediente y se re-archivó.</t>
  </si>
  <si>
    <t xml:space="preserve">Vencidos</t>
  </si>
  <si>
    <t xml:space="preserve">INC-02</t>
  </si>
  <si>
    <t xml:space="preserve">Adquisiciones</t>
  </si>
  <si>
    <t xml:space="preserve">Oferta presentada fuera de plazo en proceso de consultoría.</t>
  </si>
  <si>
    <t xml:space="preserve">Oferta rechazada y acta del hecho.</t>
  </si>
  <si>
    <t xml:space="preserve">Alta prioridad abiertos</t>
  </si>
  <si>
    <t xml:space="preserve">INC-03</t>
  </si>
  <si>
    <t xml:space="preserve">Datos</t>
  </si>
  <si>
    <t xml:space="preserve">Planilla de beneficiarios con registros duplicados en un departamento.</t>
  </si>
  <si>
    <t xml:space="preserve">Alta</t>
  </si>
  <si>
    <t xml:space="preserve">Esp. Social</t>
  </si>
  <si>
    <t xml:space="preserve">Depuración con el documento de identidad y validación cruzada.</t>
  </si>
  <si>
    <t xml:space="preserve">INC-04</t>
  </si>
  <si>
    <t xml:space="preserve">Cronograma</t>
  </si>
  <si>
    <t xml:space="preserve">Visita territorial suspendida por condiciones climáticas.</t>
  </si>
  <si>
    <t xml:space="preserve">Baja</t>
  </si>
  <si>
    <t xml:space="preserve">Abierto</t>
  </si>
  <si>
    <t xml:space="preserve">Reprogramar en julio.</t>
  </si>
  <si>
    <t xml:space="preserve">INC-05</t>
  </si>
  <si>
    <t xml:space="preserve">Diferencia entre el libro de gastos y el registro bancario por una transferencia devuelta.</t>
  </si>
  <si>
    <t xml:space="preserve">Conciliación y reintegro a la cuenta del Programa.</t>
  </si>
  <si>
    <t xml:space="preserve">Matriz de lecciones aprendidas</t>
  </si>
  <si>
    <t xml:space="preserve">Se actualiza después de cada misión, auditoría o hito. Alimenta el informe de cierre y el diseño de operaciones futuras.</t>
  </si>
  <si>
    <t xml:space="preserve">Proceso</t>
  </si>
  <si>
    <t xml:space="preserve">Qué se hizo bien</t>
  </si>
  <si>
    <t xml:space="preserve">Qué se pudo hacer mejor</t>
  </si>
  <si>
    <t xml:space="preserve">Recomendación / acción</t>
  </si>
  <si>
    <t xml:space="preserve">Aplicada</t>
  </si>
  <si>
    <t xml:space="preserve">Lecciones aplicadas</t>
  </si>
  <si>
    <t xml:space="preserve">L-01</t>
  </si>
  <si>
    <t xml:space="preserve">Planificación</t>
  </si>
  <si>
    <t xml:space="preserve">Calendario de informes P1-P12 acordado desde la instalación.</t>
  </si>
  <si>
    <t xml:space="preserve">La matriz de indicadores se completó después de la primera misión.</t>
  </si>
  <si>
    <t xml:space="preserve">Cargar línea base y metas antes de la primera solicitud de desembolso.</t>
  </si>
  <si>
    <t xml:space="preserve">L-02</t>
  </si>
  <si>
    <t xml:space="preserve">El libro de gastos como fuente única evitó cifras distintas entre informes.</t>
  </si>
  <si>
    <t xml:space="preserve">Algunos pagos se registraron con retraso semanal.</t>
  </si>
  <si>
    <t xml:space="preserve">Registrar en las 48 h siguientes al pago y conciliar cada quincena.</t>
  </si>
  <si>
    <t xml:space="preserve">L-03</t>
  </si>
  <si>
    <t xml:space="preserve">Los términos de referencia estandarizados redujeron las consultas.</t>
  </si>
  <si>
    <t xml:space="preserve">Se subestimó el tiempo de preparación de documentos complejos.</t>
  </si>
  <si>
    <t xml:space="preserve">Añadir 15 días de holgura a procesos de más de USD 150.000.</t>
  </si>
  <si>
    <t xml:space="preserve">L-04</t>
  </si>
  <si>
    <t xml:space="preserve">Territorio</t>
  </si>
  <si>
    <t xml:space="preserve">Las visitas conjuntas con el Esp. Social mejoraron la calidad de los datos.</t>
  </si>
  <si>
    <t xml:space="preserve">Hubo departamentos con baja cobertura al inicio.</t>
  </si>
  <si>
    <t xml:space="preserve">Priorizar según el índice de focalización de P2.</t>
  </si>
  <si>
    <t xml:space="preserve">Informe de cierre (formato para contrato, producto o fase)</t>
  </si>
  <si>
    <t xml:space="preserve">Plantilla con datos ilustrativos; el cierre del Programa sigue las condiciones del contrato y del MOP.</t>
  </si>
  <si>
    <t xml:space="preserve">Objeto</t>
  </si>
  <si>
    <t xml:space="preserve">Cierre de la fase de instalación de la UGP (ficticio)</t>
  </si>
  <si>
    <t xml:space="preserve">Coordinador General · Especialistas de la UGP · Representante de la Dirección General</t>
  </si>
  <si>
    <t xml:space="preserve">Alcance</t>
  </si>
  <si>
    <t xml:space="preserve">Se logró instalar el equipo de la UGP, validar el MOP y aprobar el primer Plan de Adquisiciones.</t>
  </si>
  <si>
    <t xml:space="preserve">Cumplido con 12 días de atraso en la contratación de la plaza social.</t>
  </si>
  <si>
    <t xml:space="preserve">Costo</t>
  </si>
  <si>
    <t xml:space="preserve">Ejecutado 96% del presupuesto de la fase; sin variaciones relevantes.</t>
  </si>
  <si>
    <t xml:space="preserve">Calidad / aceptación</t>
  </si>
  <si>
    <t xml:space="preserve">Productos P1 y P2 aprobados por la Gerencia de Cooperación Institucional.</t>
  </si>
  <si>
    <t xml:space="preserve">Conclusiones</t>
  </si>
  <si>
    <t xml:space="preserve">El sistema integrado de control quedó operando; se identificó la necesidad de reforzar la conciliación quincenal.</t>
  </si>
  <si>
    <t xml:space="preserve">Pendientes</t>
  </si>
  <si>
    <t xml:space="preserve">Cargar línea base de los indicadores 3 y 4 antes de la primera misión.</t>
  </si>
  <si>
    <t xml:space="preserve">Resumen cuantitativo</t>
  </si>
  <si>
    <t xml:space="preserve">Planificado</t>
  </si>
  <si>
    <t xml:space="preserve">Real</t>
  </si>
  <si>
    <t xml:space="preserve">Costo (USD)</t>
  </si>
  <si>
    <t xml:space="preserve">Duración (días)</t>
  </si>
  <si>
    <t xml:space="preserve">Hitos cumplidos</t>
  </si>
  <si>
    <t xml:space="preserve">Variación de costo (real − plan)</t>
  </si>
  <si>
    <t xml:space="preserve">Variación de duración (días)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</si>
</sst>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;[RED]\-#,##0;\-"/>
    <numFmt numFmtId="167" formatCode="0"/>
    <numFmt numFmtId="168" formatCode="General"/>
    <numFmt numFmtId="169" formatCode="0.0%;[RED]\-0.0%;\-"/>
    <numFmt numFmtId="170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E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24" hidden="false" customHeight="true" outlineLevel="0" collapsed="false">
      <c r="A1" s="1" t="s">
        <v>0</v>
      </c>
      <c r="D1" s="2" t="s">
        <v>1</v>
      </c>
      <c r="E1" s="3" t="n">
        <v>46568</v>
      </c>
    </row>
    <row r="2" customFormat="false" ht="15" hidden="false" customHeight="false" outlineLevel="0" collapsed="false">
      <c r="A2" s="4" t="s">
        <v>2</v>
      </c>
    </row>
    <row r="3" customFormat="false" ht="15" hidden="false" customHeight="false" outlineLevel="0" collapsed="false">
      <c r="A3" s="5" t="s">
        <v>3</v>
      </c>
    </row>
    <row r="5" customFormat="false" ht="31.5" hidden="false" customHeight="true" outlineLevel="0" collapsed="false">
      <c r="A5" s="6" t="s">
        <v>4</v>
      </c>
      <c r="B5" s="7" t="s">
        <v>5</v>
      </c>
    </row>
    <row r="6" customFormat="false" ht="31.5" hidden="false" customHeight="true" outlineLevel="0" collapsed="false">
      <c r="A6" s="6" t="s">
        <v>6</v>
      </c>
      <c r="B6" s="7" t="s">
        <v>7</v>
      </c>
    </row>
    <row r="7" customFormat="false" ht="31.5" hidden="false" customHeight="true" outlineLevel="0" collapsed="false">
      <c r="A7" s="6" t="s">
        <v>8</v>
      </c>
      <c r="B7" s="7" t="s">
        <v>9</v>
      </c>
    </row>
    <row r="8" customFormat="false" ht="31.5" hidden="false" customHeight="true" outlineLevel="0" collapsed="false">
      <c r="A8" s="6" t="s">
        <v>10</v>
      </c>
      <c r="B8" s="7" t="s">
        <v>11</v>
      </c>
    </row>
    <row r="9" customFormat="false" ht="31.5" hidden="false" customHeight="true" outlineLevel="0" collapsed="false">
      <c r="A9" s="6" t="s">
        <v>12</v>
      </c>
      <c r="B9" s="7" t="s">
        <v>13</v>
      </c>
    </row>
    <row r="10" customFormat="false" ht="31.5" hidden="false" customHeight="true" outlineLevel="0" collapsed="false">
      <c r="A10" s="6" t="s">
        <v>14</v>
      </c>
      <c r="B10" s="7" t="s">
        <v>15</v>
      </c>
    </row>
    <row r="11" customFormat="false" ht="31.5" hidden="false" customHeight="true" outlineLevel="0" collapsed="false">
      <c r="A11" s="6" t="s">
        <v>16</v>
      </c>
      <c r="B11" s="7" t="s">
        <v>17</v>
      </c>
    </row>
    <row r="12" customFormat="false" ht="31.5" hidden="false" customHeight="true" outlineLevel="0" collapsed="false">
      <c r="A12" s="6" t="s">
        <v>18</v>
      </c>
      <c r="B12" s="7" t="s">
        <v>19</v>
      </c>
    </row>
    <row r="13" customFormat="false" ht="31.5" hidden="false" customHeight="true" outlineLevel="0" collapsed="false">
      <c r="A13" s="6" t="s">
        <v>20</v>
      </c>
      <c r="B13" s="7" t="s">
        <v>21</v>
      </c>
    </row>
    <row r="15" customFormat="false" ht="15" hidden="false" customHeight="false" outlineLevel="0" collapsed="false">
      <c r="A15" s="8" t="s">
        <v>22</v>
      </c>
    </row>
    <row r="16" customFormat="false" ht="15" hidden="false" customHeight="false" outlineLevel="0" collapsed="false">
      <c r="A16" s="8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24" hidden="false" customHeight="true" outlineLevel="0" collapsed="false">
      <c r="A1" s="1" t="s">
        <v>24</v>
      </c>
    </row>
    <row r="2" customFormat="false" ht="15" hidden="false" customHeight="false" outlineLevel="0" collapsed="false">
      <c r="A2" s="4" t="s">
        <v>2</v>
      </c>
    </row>
    <row r="3" customFormat="false" ht="15" hidden="false" customHeight="false" outlineLevel="0" collapsed="false">
      <c r="A3" s="5" t="s">
        <v>25</v>
      </c>
    </row>
    <row r="4" customFormat="false" ht="19.5" hidden="false" customHeight="true" outlineLevel="0" collapsed="false">
      <c r="A4" s="9" t="s">
        <v>26</v>
      </c>
      <c r="B4" s="10" t="s">
        <v>27</v>
      </c>
    </row>
    <row r="5" customFormat="false" ht="30.75" hidden="false" customHeight="true" outlineLevel="0" collapsed="false">
      <c r="A5" s="9" t="s">
        <v>28</v>
      </c>
      <c r="B5" s="10" t="s">
        <v>29</v>
      </c>
    </row>
    <row r="6" customFormat="false" ht="19.5" hidden="false" customHeight="true" outlineLevel="0" collapsed="false">
      <c r="A6" s="9" t="s">
        <v>30</v>
      </c>
      <c r="B6" s="10" t="s">
        <v>31</v>
      </c>
    </row>
    <row r="7" customFormat="false" ht="19.5" hidden="false" customHeight="true" outlineLevel="0" collapsed="false">
      <c r="A7" s="9" t="s">
        <v>32</v>
      </c>
      <c r="B7" s="10" t="s">
        <v>33</v>
      </c>
    </row>
    <row r="8" customFormat="false" ht="19.5" hidden="false" customHeight="true" outlineLevel="0" collapsed="false">
      <c r="A8" s="9" t="s">
        <v>34</v>
      </c>
      <c r="B8" s="10" t="s">
        <v>35</v>
      </c>
    </row>
    <row r="9" customFormat="false" ht="30.75" hidden="false" customHeight="true" outlineLevel="0" collapsed="false">
      <c r="A9" s="9" t="s">
        <v>36</v>
      </c>
      <c r="B9" s="10" t="s">
        <v>37</v>
      </c>
    </row>
    <row r="10" customFormat="false" ht="93" hidden="false" customHeight="true" outlineLevel="0" collapsed="false">
      <c r="A10" s="9" t="s">
        <v>38</v>
      </c>
      <c r="B10" s="10" t="s">
        <v>39</v>
      </c>
    </row>
    <row r="11" customFormat="false" ht="93" hidden="false" customHeight="true" outlineLevel="0" collapsed="false">
      <c r="A11" s="9" t="s">
        <v>40</v>
      </c>
      <c r="B11" s="10" t="s">
        <v>41</v>
      </c>
    </row>
    <row r="12" customFormat="false" ht="46.5" hidden="false" customHeight="true" outlineLevel="0" collapsed="false">
      <c r="A12" s="9" t="s">
        <v>42</v>
      </c>
      <c r="B12" s="10" t="s">
        <v>43</v>
      </c>
    </row>
    <row r="13" customFormat="false" ht="77.25" hidden="false" customHeight="true" outlineLevel="0" collapsed="false">
      <c r="A13" s="9" t="s">
        <v>44</v>
      </c>
      <c r="B13" s="10" t="s">
        <v>45</v>
      </c>
    </row>
    <row r="14" customFormat="false" ht="30.75" hidden="false" customHeight="true" outlineLevel="0" collapsed="false">
      <c r="A14" s="9" t="s">
        <v>46</v>
      </c>
      <c r="B14" s="10" t="s">
        <v>47</v>
      </c>
    </row>
    <row r="15" customFormat="false" ht="30.75" hidden="false" customHeight="true" outlineLevel="0" collapsed="false">
      <c r="A15" s="9" t="s">
        <v>48</v>
      </c>
      <c r="B15" s="10" t="s">
        <v>49</v>
      </c>
    </row>
    <row r="16" customFormat="false" ht="30.75" hidden="false" customHeight="true" outlineLevel="0" collapsed="false">
      <c r="A16" s="9" t="s">
        <v>50</v>
      </c>
      <c r="B16" s="10" t="s">
        <v>51</v>
      </c>
    </row>
    <row r="17" customFormat="false" ht="19.5" hidden="false" customHeight="true" outlineLevel="0" collapsed="false">
      <c r="A17" s="9" t="s">
        <v>52</v>
      </c>
      <c r="B17" s="10" t="s">
        <v>53</v>
      </c>
    </row>
    <row r="18" customFormat="false" ht="30.75" hidden="false" customHeight="true" outlineLevel="0" collapsed="false">
      <c r="A18" s="9" t="s">
        <v>54</v>
      </c>
      <c r="B18" s="10" t="s">
        <v>55</v>
      </c>
    </row>
    <row r="19" customFormat="false" ht="46.5" hidden="false" customHeight="true" outlineLevel="0" collapsed="false">
      <c r="A19" s="9" t="s">
        <v>56</v>
      </c>
      <c r="B19" s="1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24" hidden="false" customHeight="true" outlineLevel="0" collapsed="false">
      <c r="A1" s="1" t="s">
        <v>7</v>
      </c>
    </row>
    <row r="2" customFormat="false" ht="15" hidden="false" customHeight="false" outlineLevel="0" collapsed="false">
      <c r="A2" s="4" t="s">
        <v>2</v>
      </c>
    </row>
    <row r="3" customFormat="false" ht="15" hidden="false" customHeight="false" outlineLevel="0" collapsed="false">
      <c r="A3" s="5" t="s">
        <v>58</v>
      </c>
    </row>
    <row r="4" customFormat="false" ht="19.5" hidden="false" customHeight="true" outlineLevel="0" collapsed="false">
      <c r="A4" s="9" t="s">
        <v>59</v>
      </c>
      <c r="B4" s="10" t="s">
        <v>60</v>
      </c>
    </row>
    <row r="5" customFormat="false" ht="15" hidden="false" customHeight="false" outlineLevel="0" collapsed="false">
      <c r="A5" s="9" t="s">
        <v>61</v>
      </c>
      <c r="B5" s="11" t="n">
        <v>46519</v>
      </c>
    </row>
    <row r="6" customFormat="false" ht="30.75" hidden="false" customHeight="true" outlineLevel="0" collapsed="false">
      <c r="A6" s="9" t="s">
        <v>62</v>
      </c>
      <c r="B6" s="10" t="s">
        <v>63</v>
      </c>
    </row>
    <row r="7" customFormat="false" ht="19.5" hidden="false" customHeight="true" outlineLevel="0" collapsed="false">
      <c r="A7" s="9" t="s">
        <v>64</v>
      </c>
      <c r="B7" s="10" t="s">
        <v>65</v>
      </c>
    </row>
    <row r="8" customFormat="false" ht="19.5" hidden="false" customHeight="true" outlineLevel="0" collapsed="false">
      <c r="A8" s="9" t="s">
        <v>66</v>
      </c>
      <c r="B8" s="10" t="s">
        <v>67</v>
      </c>
    </row>
    <row r="9" customFormat="false" ht="46.5" hidden="false" customHeight="true" outlineLevel="0" collapsed="false">
      <c r="A9" s="9" t="s">
        <v>68</v>
      </c>
      <c r="B9" s="10" t="s">
        <v>69</v>
      </c>
    </row>
    <row r="10" customFormat="false" ht="19.5" hidden="false" customHeight="true" outlineLevel="0" collapsed="false">
      <c r="A10" s="9" t="s">
        <v>70</v>
      </c>
      <c r="B10" s="10" t="s">
        <v>71</v>
      </c>
    </row>
    <row r="11" customFormat="false" ht="19.5" hidden="false" customHeight="true" outlineLevel="0" collapsed="false">
      <c r="A11" s="9" t="s">
        <v>72</v>
      </c>
      <c r="B11" s="10" t="s">
        <v>73</v>
      </c>
    </row>
    <row r="12" customFormat="false" ht="19.5" hidden="false" customHeight="true" outlineLevel="0" collapsed="false">
      <c r="A12" s="9" t="s">
        <v>74</v>
      </c>
      <c r="B12" s="10" t="s">
        <v>75</v>
      </c>
    </row>
    <row r="13" customFormat="false" ht="19.5" hidden="false" customHeight="true" outlineLevel="0" collapsed="false">
      <c r="A13" s="9" t="s">
        <v>76</v>
      </c>
      <c r="B13" s="10" t="s">
        <v>77</v>
      </c>
    </row>
    <row r="14" customFormat="false" ht="19.5" hidden="false" customHeight="true" outlineLevel="0" collapsed="false">
      <c r="A14" s="9" t="s">
        <v>78</v>
      </c>
      <c r="B14" s="10" t="s">
        <v>79</v>
      </c>
    </row>
    <row r="15" customFormat="false" ht="19.5" hidden="false" customHeight="true" outlineLevel="0" collapsed="false">
      <c r="A15" s="9" t="s">
        <v>80</v>
      </c>
      <c r="B15" s="10" t="s">
        <v>81</v>
      </c>
    </row>
    <row r="16" customFormat="false" ht="15" hidden="false" customHeight="false" outlineLevel="0" collapsed="false">
      <c r="A16" s="9" t="s">
        <v>82</v>
      </c>
      <c r="B16" s="11" t="n">
        <v>46553</v>
      </c>
    </row>
  </sheetData>
  <dataValidations count="3">
    <dataValidation allowBlank="true" error="Valor no válido" errorStyle="stop" errorTitle="Seleccione un valor de la lista" operator="between" showDropDown="false" showErrorMessage="false" showInputMessage="false" sqref="B8" type="list">
      <formula1>"Acción correctiva,Acción preventiva,Reparación de defecto,Cambio de alcance,Cambio presupuestario"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B13" type="list">
      <formula1>"Sí — modificación del Plan de Adquisiciones,Sí — modificación del POA/PEP,Sí — reasignación de categorías,No"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B14" type="list">
      <formula1>"Aprobado,Rechazado,Diferido,Aprobado con condiciones"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1" min="11" style="0" width="24"/>
    <col collapsed="false" customWidth="true" hidden="false" outlineLevel="0" max="12" min="12" style="0" width="16"/>
  </cols>
  <sheetData>
    <row r="1" customFormat="false" ht="24" hidden="false" customHeight="true" outlineLevel="0" collapsed="false">
      <c r="A1" s="1" t="s">
        <v>83</v>
      </c>
    </row>
    <row r="2" customFormat="false" ht="15" hidden="false" customHeight="false" outlineLevel="0" collapsed="false">
      <c r="A2" s="4" t="s">
        <v>2</v>
      </c>
    </row>
    <row r="3" customFormat="false" ht="15" hidden="false" customHeight="false" outlineLevel="0" collapsed="false">
      <c r="A3" s="5" t="s">
        <v>84</v>
      </c>
    </row>
    <row r="4" customFormat="false" ht="33.75" hidden="false" customHeight="true" outlineLevel="0" collapsed="false">
      <c r="A4" s="12" t="s">
        <v>85</v>
      </c>
      <c r="B4" s="12" t="s">
        <v>61</v>
      </c>
      <c r="C4" s="12" t="s">
        <v>64</v>
      </c>
      <c r="D4" s="12" t="s">
        <v>86</v>
      </c>
      <c r="E4" s="12" t="s">
        <v>87</v>
      </c>
      <c r="F4" s="12" t="s">
        <v>88</v>
      </c>
      <c r="G4" s="12" t="s">
        <v>89</v>
      </c>
      <c r="H4" s="12" t="s">
        <v>90</v>
      </c>
      <c r="I4" s="12" t="s">
        <v>91</v>
      </c>
      <c r="K4" s="13" t="s">
        <v>92</v>
      </c>
      <c r="L4" s="14" t="n">
        <f aca="false">SUMIFS(E5:E60,F5:F60,"Aprobado")</f>
        <v>120000</v>
      </c>
    </row>
    <row r="5" customFormat="false" ht="15" hidden="false" customHeight="false" outlineLevel="0" collapsed="false">
      <c r="A5" s="15" t="s">
        <v>60</v>
      </c>
      <c r="B5" s="16" t="n">
        <v>46519</v>
      </c>
      <c r="C5" s="10" t="s">
        <v>93</v>
      </c>
      <c r="D5" s="15" t="s">
        <v>67</v>
      </c>
      <c r="E5" s="17" t="n">
        <v>0</v>
      </c>
      <c r="F5" s="15" t="s">
        <v>79</v>
      </c>
      <c r="G5" s="15" t="s">
        <v>94</v>
      </c>
      <c r="H5" s="16" t="n">
        <v>46533</v>
      </c>
      <c r="I5" s="18" t="n">
        <f aca="false">IF(H5="","",H5-B5)</f>
        <v>14</v>
      </c>
    </row>
    <row r="6" customFormat="false" ht="15" hidden="false" customHeight="false" outlineLevel="0" collapsed="false">
      <c r="A6" s="15" t="s">
        <v>95</v>
      </c>
      <c r="B6" s="16" t="n">
        <v>46454</v>
      </c>
      <c r="C6" s="10" t="s">
        <v>96</v>
      </c>
      <c r="D6" s="15" t="s">
        <v>97</v>
      </c>
      <c r="E6" s="17" t="n">
        <v>120000</v>
      </c>
      <c r="F6" s="15" t="s">
        <v>79</v>
      </c>
      <c r="G6" s="15" t="s">
        <v>98</v>
      </c>
      <c r="H6" s="16" t="n">
        <v>46475</v>
      </c>
      <c r="I6" s="18" t="n">
        <f aca="false">IF(H6="","",H6-B6)</f>
        <v>21</v>
      </c>
    </row>
    <row r="7" customFormat="false" ht="15" hidden="false" customHeight="false" outlineLevel="0" collapsed="false">
      <c r="A7" s="15" t="s">
        <v>99</v>
      </c>
      <c r="B7" s="16" t="n">
        <v>46479</v>
      </c>
      <c r="C7" s="10" t="s">
        <v>100</v>
      </c>
      <c r="D7" s="15" t="s">
        <v>101</v>
      </c>
      <c r="E7" s="17" t="n">
        <v>0</v>
      </c>
      <c r="F7" s="15" t="s">
        <v>102</v>
      </c>
      <c r="G7" s="15" t="s">
        <v>103</v>
      </c>
      <c r="H7" s="16" t="n">
        <v>46493</v>
      </c>
      <c r="I7" s="18" t="n">
        <f aca="false">IF(H7="","",H7-B7)</f>
        <v>14</v>
      </c>
    </row>
  </sheetData>
  <autoFilter ref="A4:I7"/>
  <conditionalFormatting sqref="F5:F60">
    <cfRule type="cellIs" priority="2" operator="equal" aboveAverage="0" equalAverage="0" bottom="0" percent="0" rank="0" text="" dxfId="8">
      <formula>"Aprobado"</formula>
    </cfRule>
    <cfRule type="cellIs" priority="3" operator="equal" aboveAverage="0" equalAverage="0" bottom="0" percent="0" rank="0" text="" dxfId="9">
      <formula>"Diferido"</formula>
    </cfRule>
    <cfRule type="cellIs" priority="4" operator="equal" aboveAverage="0" equalAverage="0" bottom="0" percent="0" rank="0" text="" dxfId="10">
      <formula>"Rechazado"</formula>
    </cfRule>
  </conditionalFormatting>
  <dataValidations count="3">
    <dataValidation allowBlank="true" error="Valor no válido" errorStyle="stop" errorTitle="Seleccione un valor de la lista" operator="between" showDropDown="false" showErrorMessage="false" showInputMessage="false" sqref="D5:D60" type="list">
      <formula1>"Acción correctiva,Acción preventiva,Reparación de defecto,Cambio de alcance,Cambio presupuestario"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F5:F60" type="list">
      <formula1>"Aprobado,Rechazado,Diferido,Aprobado con condiciones"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G5:G60" type="list">
      <formula1>"Pendiente,Concedida,N/A,Denegada"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  <col collapsed="false" customWidth="true" hidden="false" outlineLevel="0" max="3" min="3" style="0" width="24"/>
    <col collapsed="false" customWidth="true" hidden="false" outlineLevel="0" max="5" min="4" style="0" width="14"/>
  </cols>
  <sheetData>
    <row r="1" customFormat="false" ht="24" hidden="false" customHeight="true" outlineLevel="0" collapsed="false">
      <c r="A1" s="1" t="s">
        <v>104</v>
      </c>
    </row>
    <row r="2" customFormat="false" ht="15" hidden="false" customHeight="false" outlineLevel="0" collapsed="false">
      <c r="A2" s="4" t="s">
        <v>2</v>
      </c>
    </row>
    <row r="3" customFormat="false" ht="15" hidden="false" customHeight="false" outlineLevel="0" collapsed="false">
      <c r="A3" s="5" t="s">
        <v>105</v>
      </c>
    </row>
    <row r="4" customFormat="false" ht="19.5" hidden="false" customHeight="true" outlineLevel="0" collapsed="false">
      <c r="A4" s="9" t="s">
        <v>106</v>
      </c>
      <c r="B4" s="10" t="s">
        <v>107</v>
      </c>
    </row>
    <row r="5" customFormat="false" ht="15" hidden="false" customHeight="false" outlineLevel="0" collapsed="false">
      <c r="A5" s="9" t="s">
        <v>61</v>
      </c>
      <c r="B5" s="11" t="n">
        <v>46570</v>
      </c>
    </row>
    <row r="6" customFormat="false" ht="30.75" hidden="false" customHeight="true" outlineLevel="0" collapsed="false">
      <c r="A6" s="9" t="s">
        <v>62</v>
      </c>
      <c r="B6" s="10" t="s">
        <v>108</v>
      </c>
    </row>
    <row r="7" customFormat="false" ht="30.75" hidden="false" customHeight="true" outlineLevel="0" collapsed="false">
      <c r="A7" s="9" t="s">
        <v>64</v>
      </c>
      <c r="B7" s="10" t="s">
        <v>109</v>
      </c>
    </row>
    <row r="8" customFormat="false" ht="108" hidden="false" customHeight="true" outlineLevel="0" collapsed="false">
      <c r="A8" s="9" t="s">
        <v>110</v>
      </c>
      <c r="B8" s="10" t="s">
        <v>111</v>
      </c>
    </row>
    <row r="9" customFormat="false" ht="30.75" hidden="false" customHeight="true" outlineLevel="0" collapsed="false">
      <c r="A9" s="9" t="s">
        <v>112</v>
      </c>
      <c r="B9" s="10" t="s">
        <v>113</v>
      </c>
    </row>
    <row r="10" customFormat="false" ht="15" hidden="false" customHeight="false" outlineLevel="0" collapsed="false">
      <c r="A10" s="9" t="s">
        <v>114</v>
      </c>
      <c r="B10" s="11" t="n">
        <v>46603</v>
      </c>
    </row>
    <row r="12" customFormat="false" ht="15" hidden="false" customHeight="false" outlineLevel="0" collapsed="false">
      <c r="A12" s="19" t="s">
        <v>115</v>
      </c>
      <c r="B12" s="20"/>
      <c r="C12" s="20"/>
      <c r="D12" s="20"/>
      <c r="E12" s="20"/>
    </row>
    <row r="13" customFormat="false" ht="15" hidden="false" customHeight="false" outlineLevel="0" collapsed="false">
      <c r="A13" s="21" t="s">
        <v>85</v>
      </c>
      <c r="B13" s="21" t="s">
        <v>116</v>
      </c>
      <c r="C13" s="21" t="s">
        <v>117</v>
      </c>
      <c r="D13" s="21" t="s">
        <v>118</v>
      </c>
      <c r="E13" s="21" t="s">
        <v>119</v>
      </c>
    </row>
    <row r="14" customFormat="false" ht="15" hidden="false" customHeight="false" outlineLevel="0" collapsed="false">
      <c r="A14" s="10" t="s">
        <v>120</v>
      </c>
      <c r="B14" s="10" t="s">
        <v>121</v>
      </c>
      <c r="C14" s="10" t="s">
        <v>122</v>
      </c>
      <c r="D14" s="22" t="n">
        <v>46583</v>
      </c>
      <c r="E14" s="10" t="s">
        <v>123</v>
      </c>
    </row>
    <row r="15" customFormat="false" ht="15" hidden="false" customHeight="false" outlineLevel="0" collapsed="false">
      <c r="A15" s="10" t="s">
        <v>124</v>
      </c>
      <c r="B15" s="10" t="s">
        <v>125</v>
      </c>
      <c r="C15" s="10" t="s">
        <v>81</v>
      </c>
      <c r="D15" s="22" t="n">
        <v>46588</v>
      </c>
      <c r="E15" s="10" t="s">
        <v>123</v>
      </c>
    </row>
    <row r="16" customFormat="false" ht="15" hidden="false" customHeight="false" outlineLevel="0" collapsed="false">
      <c r="A16" s="10" t="s">
        <v>126</v>
      </c>
      <c r="B16" s="10" t="s">
        <v>127</v>
      </c>
      <c r="C16" s="10" t="s">
        <v>128</v>
      </c>
      <c r="D16" s="22" t="n">
        <v>46578</v>
      </c>
      <c r="E16" s="10" t="s">
        <v>94</v>
      </c>
    </row>
    <row r="17" customFormat="false" ht="15" hidden="false" customHeight="false" outlineLevel="0" collapsed="false">
      <c r="A17" s="10" t="s">
        <v>129</v>
      </c>
      <c r="B17" s="10" t="s">
        <v>130</v>
      </c>
      <c r="C17" s="10" t="s">
        <v>34</v>
      </c>
      <c r="D17" s="22" t="n">
        <v>46593</v>
      </c>
      <c r="E17" s="10" t="s">
        <v>94</v>
      </c>
    </row>
  </sheetData>
  <conditionalFormatting sqref="E14:E33">
    <cfRule type="cellIs" priority="2" operator="equal" aboveAverage="0" equalAverage="0" bottom="0" percent="0" rank="0" text="" dxfId="8">
      <formula>"Cumplido"</formula>
    </cfRule>
    <cfRule type="cellIs" priority="3" operator="equal" aboveAverage="0" equalAverage="0" bottom="0" percent="0" rank="0" text="" dxfId="9">
      <formula>"En proceso"</formula>
    </cfRule>
    <cfRule type="cellIs" priority="4" operator="equal" aboveAverage="0" equalAverage="0" bottom="0" percent="0" rank="0" text="" dxfId="10">
      <formula>"Vencido"</formula>
    </cfRule>
  </conditionalFormatting>
  <dataValidations count="1">
    <dataValidation allowBlank="true" error="Valor no válido" errorStyle="stop" errorTitle="Seleccione un valor de la lista" operator="between" showDropDown="false" showErrorMessage="false" showInputMessage="false" sqref="E14:E33" type="list">
      <formula1>"Pendiente,En proceso,Cumplido,Vencido"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  <col collapsed="false" customWidth="true" hidden="false" outlineLevel="0" max="3" min="3" style="0" width="16"/>
  </cols>
  <sheetData>
    <row r="1" customFormat="false" ht="24" hidden="false" customHeight="true" outlineLevel="0" collapsed="false">
      <c r="A1" s="1" t="s">
        <v>131</v>
      </c>
    </row>
    <row r="2" customFormat="false" ht="15" hidden="false" customHeight="false" outlineLevel="0" collapsed="false">
      <c r="A2" s="4" t="s">
        <v>2</v>
      </c>
    </row>
    <row r="3" customFormat="false" ht="15" hidden="false" customHeight="false" outlineLevel="0" collapsed="false">
      <c r="A3" s="5" t="s">
        <v>132</v>
      </c>
    </row>
    <row r="4" customFormat="false" ht="19.5" hidden="false" customHeight="true" outlineLevel="0" collapsed="false">
      <c r="A4" s="9" t="s">
        <v>133</v>
      </c>
      <c r="B4" s="10" t="s">
        <v>134</v>
      </c>
    </row>
    <row r="5" customFormat="false" ht="15" hidden="false" customHeight="false" outlineLevel="0" collapsed="false">
      <c r="A5" s="9" t="s">
        <v>135</v>
      </c>
      <c r="B5" s="11" t="n">
        <v>46556</v>
      </c>
    </row>
    <row r="6" customFormat="false" ht="19.5" hidden="false" customHeight="true" outlineLevel="0" collapsed="false">
      <c r="A6" s="9" t="s">
        <v>136</v>
      </c>
      <c r="B6" s="10" t="s">
        <v>137</v>
      </c>
    </row>
    <row r="7" customFormat="false" ht="19.5" hidden="false" customHeight="true" outlineLevel="0" collapsed="false">
      <c r="A7" s="9" t="s">
        <v>138</v>
      </c>
      <c r="B7" s="10" t="s">
        <v>139</v>
      </c>
    </row>
    <row r="8" customFormat="false" ht="30.75" hidden="false" customHeight="true" outlineLevel="0" collapsed="false">
      <c r="A8" s="9" t="s">
        <v>140</v>
      </c>
      <c r="B8" s="10" t="s">
        <v>141</v>
      </c>
    </row>
    <row r="9" customFormat="false" ht="15" hidden="false" customHeight="false" outlineLevel="0" collapsed="false">
      <c r="A9" s="9" t="s">
        <v>142</v>
      </c>
      <c r="B9" s="23" t="n">
        <v>185000</v>
      </c>
    </row>
    <row r="10" customFormat="false" ht="19.5" hidden="false" customHeight="true" outlineLevel="0" collapsed="false">
      <c r="A10" s="9" t="s">
        <v>143</v>
      </c>
      <c r="B10" s="10" t="s">
        <v>144</v>
      </c>
    </row>
    <row r="11" customFormat="false" ht="19.5" hidden="false" customHeight="true" outlineLevel="0" collapsed="false">
      <c r="A11" s="9" t="s">
        <v>145</v>
      </c>
      <c r="B11" s="10" t="s">
        <v>146</v>
      </c>
    </row>
    <row r="12" customFormat="false" ht="19.5" hidden="false" customHeight="true" outlineLevel="0" collapsed="false">
      <c r="A12" s="9" t="s">
        <v>147</v>
      </c>
      <c r="B12" s="10" t="s">
        <v>81</v>
      </c>
    </row>
    <row r="13" customFormat="false" ht="19.5" hidden="false" customHeight="true" outlineLevel="0" collapsed="false">
      <c r="A13" s="9" t="s">
        <v>148</v>
      </c>
      <c r="B13" s="10" t="s">
        <v>34</v>
      </c>
    </row>
    <row r="15" customFormat="false" ht="15" hidden="false" customHeight="false" outlineLevel="0" collapsed="false">
      <c r="A15" s="19" t="s">
        <v>149</v>
      </c>
      <c r="B15" s="20"/>
      <c r="C15" s="20"/>
    </row>
    <row r="16" customFormat="false" ht="19.5" hidden="false" customHeight="true" outlineLevel="0" collapsed="false">
      <c r="A16" s="24" t="s">
        <v>150</v>
      </c>
      <c r="B16" s="25" t="s">
        <v>151</v>
      </c>
    </row>
    <row r="17" customFormat="false" ht="19.5" hidden="false" customHeight="true" outlineLevel="0" collapsed="false">
      <c r="A17" s="24" t="s">
        <v>152</v>
      </c>
      <c r="B17" s="25" t="s">
        <v>151</v>
      </c>
    </row>
    <row r="18" customFormat="false" ht="19.5" hidden="false" customHeight="true" outlineLevel="0" collapsed="false">
      <c r="A18" s="24" t="s">
        <v>153</v>
      </c>
      <c r="B18" s="25" t="s">
        <v>151</v>
      </c>
    </row>
    <row r="19" customFormat="false" ht="19.5" hidden="false" customHeight="true" outlineLevel="0" collapsed="false">
      <c r="A19" s="24" t="s">
        <v>154</v>
      </c>
      <c r="B19" s="25" t="s">
        <v>151</v>
      </c>
    </row>
    <row r="20" customFormat="false" ht="19.5" hidden="false" customHeight="true" outlineLevel="0" collapsed="false">
      <c r="A20" s="24" t="s">
        <v>155</v>
      </c>
      <c r="B20" s="25" t="s">
        <v>151</v>
      </c>
    </row>
    <row r="21" customFormat="false" ht="19.5" hidden="false" customHeight="true" outlineLevel="0" collapsed="false">
      <c r="A21" s="24" t="s">
        <v>156</v>
      </c>
      <c r="B21" s="25" t="s">
        <v>151</v>
      </c>
    </row>
    <row r="22" customFormat="false" ht="19.5" hidden="false" customHeight="true" outlineLevel="0" collapsed="false">
      <c r="A22" s="24" t="s">
        <v>157</v>
      </c>
      <c r="B22" s="25" t="s">
        <v>151</v>
      </c>
    </row>
    <row r="23" customFormat="false" ht="19.5" hidden="false" customHeight="true" outlineLevel="0" collapsed="false">
      <c r="A23" s="24" t="s">
        <v>158</v>
      </c>
      <c r="B23" s="25" t="s">
        <v>159</v>
      </c>
    </row>
    <row r="25" customFormat="false" ht="15" hidden="false" customHeight="false" outlineLevel="0" collapsed="false">
      <c r="A25" s="13" t="s">
        <v>160</v>
      </c>
      <c r="B25" s="26" t="str">
        <f aca="false">IF(COUNTIF(B16:B23,"No")=0,"LISTO PARA ENVIAR","COMPLETAR ANTES DE ENVIAR")</f>
        <v>COMPLETAR ANTES DE ENVIAR</v>
      </c>
    </row>
  </sheetData>
  <conditionalFormatting sqref="B25">
    <cfRule type="cellIs" priority="2" operator="equal" aboveAverage="0" equalAverage="0" bottom="0" percent="0" rank="0" text="" dxfId="8">
      <formula>"LISTO PARA ENVIAR"</formula>
    </cfRule>
    <cfRule type="cellIs" priority="3" operator="equal" aboveAverage="0" equalAverage="0" bottom="0" percent="0" rank="0" text="" dxfId="10">
      <formula>"COMPLETAR ANTES DE ENVIAR"</formula>
    </cfRule>
  </conditionalFormatting>
  <dataValidations count="3">
    <dataValidation allowBlank="true" error="Valor no válido" errorStyle="stop" errorTitle="Seleccione un valor de la lista" operator="between" showDropDown="false" showErrorMessage="false" showInputMessage="false" sqref="B10" type="list">
      <formula1>"LPI,LPN,Comparación de precios,SBCC,3CV,Contratación directa"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B11" type="list">
      <formula1>"Ex ante,Ex post"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B16:B23" type="list">
      <formula1>"Sí,No,N/A"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5" min="2" style="0" width="16"/>
    <col collapsed="false" customWidth="true" hidden="false" outlineLevel="0" max="6" min="6" style="0" width="10"/>
  </cols>
  <sheetData>
    <row r="1" customFormat="false" ht="24" hidden="false" customHeight="true" outlineLevel="0" collapsed="false">
      <c r="A1" s="1" t="s">
        <v>161</v>
      </c>
    </row>
    <row r="2" customFormat="false" ht="15" hidden="false" customHeight="false" outlineLevel="0" collapsed="false">
      <c r="A2" s="4" t="s">
        <v>2</v>
      </c>
    </row>
    <row r="3" customFormat="false" ht="15" hidden="false" customHeight="false" outlineLevel="0" collapsed="false">
      <c r="A3" s="5" t="s">
        <v>162</v>
      </c>
    </row>
    <row r="4" customFormat="false" ht="15" hidden="false" customHeight="false" outlineLevel="0" collapsed="false">
      <c r="A4" s="19" t="s">
        <v>163</v>
      </c>
      <c r="B4" s="27" t="s">
        <v>164</v>
      </c>
      <c r="C4" s="27" t="s">
        <v>165</v>
      </c>
      <c r="D4" s="27" t="s">
        <v>166</v>
      </c>
      <c r="E4" s="27" t="s">
        <v>167</v>
      </c>
      <c r="F4" s="19" t="s">
        <v>168</v>
      </c>
    </row>
    <row r="5" customFormat="false" ht="15" hidden="false" customHeight="false" outlineLevel="0" collapsed="false">
      <c r="A5" s="28" t="s">
        <v>169</v>
      </c>
      <c r="B5" s="29"/>
      <c r="C5" s="29"/>
      <c r="D5" s="29"/>
      <c r="E5" s="29"/>
      <c r="F5" s="29"/>
    </row>
    <row r="6" customFormat="false" ht="15" hidden="false" customHeight="false" outlineLevel="0" collapsed="false">
      <c r="A6" s="30" t="s">
        <v>170</v>
      </c>
      <c r="B6" s="31" t="s">
        <v>151</v>
      </c>
      <c r="C6" s="31" t="s">
        <v>151</v>
      </c>
      <c r="D6" s="31" t="s">
        <v>151</v>
      </c>
      <c r="E6" s="31" t="s">
        <v>151</v>
      </c>
    </row>
    <row r="7" customFormat="false" ht="15" hidden="false" customHeight="false" outlineLevel="0" collapsed="false">
      <c r="A7" s="30" t="s">
        <v>171</v>
      </c>
      <c r="B7" s="31" t="s">
        <v>151</v>
      </c>
      <c r="C7" s="31" t="s">
        <v>151</v>
      </c>
      <c r="D7" s="31" t="s">
        <v>159</v>
      </c>
      <c r="E7" s="31" t="s">
        <v>151</v>
      </c>
    </row>
    <row r="8" customFormat="false" ht="15" hidden="false" customHeight="false" outlineLevel="0" collapsed="false">
      <c r="A8" s="30" t="s">
        <v>172</v>
      </c>
      <c r="B8" s="31" t="s">
        <v>151</v>
      </c>
      <c r="C8" s="31" t="s">
        <v>151</v>
      </c>
      <c r="D8" s="31" t="s">
        <v>151</v>
      </c>
      <c r="E8" s="31" t="s">
        <v>159</v>
      </c>
    </row>
    <row r="9" customFormat="false" ht="15" hidden="false" customHeight="false" outlineLevel="0" collapsed="false">
      <c r="A9" s="32" t="s">
        <v>173</v>
      </c>
      <c r="B9" s="33" t="str">
        <f aca="false">IF(COUNTIF(B6:B8,"No")=0,"Habilitado","No habilitado")</f>
        <v>Habilitado</v>
      </c>
      <c r="C9" s="33" t="str">
        <f aca="false">IF(COUNTIF(C6:C8,"No")=0,"Habilitado","No habilitado")</f>
        <v>Habilitado</v>
      </c>
      <c r="D9" s="33" t="str">
        <f aca="false">IF(COUNTIF(D6:D8,"No")=0,"Habilitado","No habilitado")</f>
        <v>No habilitado</v>
      </c>
      <c r="E9" s="33" t="str">
        <f aca="false">IF(COUNTIF(E6:E8,"No")=0,"Habilitado","No habilitado")</f>
        <v>No habilitado</v>
      </c>
    </row>
    <row r="10" customFormat="false" ht="15" hidden="false" customHeight="false" outlineLevel="0" collapsed="false">
      <c r="A10" s="28" t="s">
        <v>174</v>
      </c>
      <c r="B10" s="29"/>
      <c r="C10" s="29"/>
      <c r="D10" s="29"/>
      <c r="E10" s="29"/>
      <c r="F10" s="29"/>
    </row>
    <row r="11" customFormat="false" ht="15" hidden="false" customHeight="false" outlineLevel="0" collapsed="false">
      <c r="A11" s="30" t="s">
        <v>175</v>
      </c>
      <c r="B11" s="31" t="s">
        <v>176</v>
      </c>
      <c r="C11" s="31" t="s">
        <v>176</v>
      </c>
      <c r="D11" s="31" t="s">
        <v>177</v>
      </c>
      <c r="E11" s="31" t="s">
        <v>176</v>
      </c>
    </row>
    <row r="12" customFormat="false" ht="15" hidden="false" customHeight="false" outlineLevel="0" collapsed="false">
      <c r="A12" s="30" t="s">
        <v>178</v>
      </c>
      <c r="B12" s="31" t="n">
        <v>1</v>
      </c>
      <c r="C12" s="31" t="n">
        <v>0</v>
      </c>
      <c r="D12" s="31" t="n">
        <v>0</v>
      </c>
      <c r="E12" s="31" t="n">
        <v>0</v>
      </c>
    </row>
    <row r="13" customFormat="false" ht="15" hidden="false" customHeight="false" outlineLevel="0" collapsed="false">
      <c r="A13" s="30" t="s">
        <v>179</v>
      </c>
      <c r="B13" s="31" t="n">
        <v>0</v>
      </c>
      <c r="C13" s="31" t="n">
        <v>2</v>
      </c>
      <c r="D13" s="31" t="n">
        <v>1</v>
      </c>
      <c r="E13" s="31" t="n">
        <v>4</v>
      </c>
    </row>
    <row r="14" customFormat="false" ht="15" hidden="false" customHeight="false" outlineLevel="0" collapsed="false">
      <c r="A14" s="30" t="s">
        <v>180</v>
      </c>
      <c r="B14" s="31" t="n">
        <v>8</v>
      </c>
      <c r="C14" s="31" t="n">
        <v>7</v>
      </c>
      <c r="D14" s="31" t="n">
        <v>6</v>
      </c>
      <c r="E14" s="31" t="n">
        <v>11</v>
      </c>
    </row>
    <row r="15" customFormat="false" ht="15" hidden="false" customHeight="false" outlineLevel="0" collapsed="false">
      <c r="A15" s="30" t="s">
        <v>181</v>
      </c>
      <c r="B15" s="31" t="n">
        <v>8</v>
      </c>
      <c r="C15" s="31" t="n">
        <v>5</v>
      </c>
      <c r="D15" s="31" t="n">
        <v>0</v>
      </c>
      <c r="E15" s="31" t="n">
        <v>11</v>
      </c>
    </row>
    <row r="16" customFormat="false" ht="15" hidden="false" customHeight="false" outlineLevel="0" collapsed="false">
      <c r="A16" s="30" t="s">
        <v>182</v>
      </c>
      <c r="B16" s="31" t="n">
        <v>2</v>
      </c>
      <c r="C16" s="31" t="n">
        <v>1</v>
      </c>
      <c r="D16" s="31" t="n">
        <v>0</v>
      </c>
      <c r="E16" s="31" t="n">
        <v>2</v>
      </c>
    </row>
    <row r="17" customFormat="false" ht="15" hidden="false" customHeight="false" outlineLevel="0" collapsed="false">
      <c r="A17" s="30" t="s">
        <v>183</v>
      </c>
      <c r="B17" s="31" t="n">
        <v>8</v>
      </c>
      <c r="C17" s="31" t="n">
        <v>7</v>
      </c>
      <c r="D17" s="31" t="n">
        <v>6</v>
      </c>
      <c r="E17" s="31" t="n">
        <v>9</v>
      </c>
    </row>
    <row r="18" customFormat="false" ht="15" hidden="false" customHeight="false" outlineLevel="0" collapsed="false">
      <c r="A18" s="28" t="s">
        <v>184</v>
      </c>
      <c r="B18" s="29"/>
      <c r="C18" s="29"/>
      <c r="D18" s="29"/>
      <c r="E18" s="29"/>
      <c r="F18" s="29"/>
    </row>
    <row r="19" customFormat="false" ht="15" hidden="false" customHeight="false" outlineLevel="0" collapsed="false">
      <c r="A19" s="30" t="s">
        <v>185</v>
      </c>
      <c r="B19" s="34" t="n">
        <f aca="false">IF(B11="Maestría",15,IF(B11="Especialización",10,IF(B11="Curso",5,0)))</f>
        <v>15</v>
      </c>
      <c r="C19" s="34" t="n">
        <f aca="false">IF(C11="Maestría",15,IF(C11="Especialización",10,IF(C11="Curso",5,0)))</f>
        <v>15</v>
      </c>
      <c r="D19" s="34" t="n">
        <f aca="false">IF(D11="Maestría",15,IF(D11="Especialización",10,IF(D11="Curso",5,0)))</f>
        <v>10</v>
      </c>
      <c r="E19" s="34" t="n">
        <f aca="false">IF(E11="Maestría",15,IF(E11="Especialización",10,IF(E11="Curso",5,0)))</f>
        <v>15</v>
      </c>
      <c r="F19" s="35" t="n">
        <v>15</v>
      </c>
    </row>
    <row r="20" customFormat="false" ht="15" hidden="false" customHeight="false" outlineLevel="0" collapsed="false">
      <c r="A20" s="30" t="s">
        <v>186</v>
      </c>
      <c r="B20" s="34" t="n">
        <f aca="false">IF(B12&gt;0,15,MIN(15,5*B13))</f>
        <v>15</v>
      </c>
      <c r="C20" s="34" t="n">
        <f aca="false">IF(C12&gt;0,15,MIN(15,5*C13))</f>
        <v>10</v>
      </c>
      <c r="D20" s="34" t="n">
        <f aca="false">IF(D12&gt;0,15,MIN(15,5*D13))</f>
        <v>5</v>
      </c>
      <c r="E20" s="34" t="n">
        <f aca="false">IF(E12&gt;0,15,MIN(15,5*E13))</f>
        <v>15</v>
      </c>
      <c r="F20" s="35" t="n">
        <v>15</v>
      </c>
    </row>
    <row r="21" customFormat="false" ht="15" hidden="false" customHeight="false" outlineLevel="0" collapsed="false">
      <c r="A21" s="30" t="s">
        <v>187</v>
      </c>
      <c r="B21" s="34" t="n">
        <f aca="false">MIN(35,MAX(0,B14-5)*5)</f>
        <v>15</v>
      </c>
      <c r="C21" s="34" t="n">
        <f aca="false">MIN(35,MAX(0,C14-5)*5)</f>
        <v>10</v>
      </c>
      <c r="D21" s="34" t="n">
        <f aca="false">MIN(35,MAX(0,D14-5)*5)</f>
        <v>5</v>
      </c>
      <c r="E21" s="34" t="n">
        <f aca="false">MIN(35,MAX(0,E14-5)*5)</f>
        <v>30</v>
      </c>
      <c r="F21" s="35" t="n">
        <v>35</v>
      </c>
    </row>
    <row r="22" customFormat="false" ht="15" hidden="false" customHeight="false" outlineLevel="0" collapsed="false">
      <c r="A22" s="30" t="s">
        <v>188</v>
      </c>
      <c r="B22" s="34" t="n">
        <f aca="false">IF(B15&gt;=5,5,0)</f>
        <v>5</v>
      </c>
      <c r="C22" s="34" t="n">
        <f aca="false">IF(C15&gt;=5,5,0)</f>
        <v>5</v>
      </c>
      <c r="D22" s="34" t="n">
        <f aca="false">IF(D15&gt;=5,5,0)</f>
        <v>0</v>
      </c>
      <c r="E22" s="34" t="n">
        <f aca="false">IF(E15&gt;=5,5,0)</f>
        <v>5</v>
      </c>
      <c r="F22" s="35" t="n">
        <v>5</v>
      </c>
    </row>
    <row r="23" customFormat="false" ht="15" hidden="false" customHeight="false" outlineLevel="0" collapsed="false">
      <c r="A23" s="30" t="s">
        <v>189</v>
      </c>
      <c r="B23" s="34" t="n">
        <f aca="false">MIN(20,10*B16)</f>
        <v>20</v>
      </c>
      <c r="C23" s="34" t="n">
        <f aca="false">MIN(20,10*C16)</f>
        <v>10</v>
      </c>
      <c r="D23" s="34" t="n">
        <f aca="false">MIN(20,10*D16)</f>
        <v>0</v>
      </c>
      <c r="E23" s="34" t="n">
        <f aca="false">MIN(20,10*E16)</f>
        <v>20</v>
      </c>
      <c r="F23" s="35" t="n">
        <v>20</v>
      </c>
    </row>
    <row r="24" customFormat="false" ht="15" hidden="false" customHeight="false" outlineLevel="0" collapsed="false">
      <c r="A24" s="30" t="s">
        <v>190</v>
      </c>
      <c r="B24" s="34" t="n">
        <f aca="false">MIN(10,MAX(0,B17))</f>
        <v>8</v>
      </c>
      <c r="C24" s="34" t="n">
        <f aca="false">MIN(10,MAX(0,C17))</f>
        <v>7</v>
      </c>
      <c r="D24" s="34" t="n">
        <f aca="false">MIN(10,MAX(0,D17))</f>
        <v>6</v>
      </c>
      <c r="E24" s="34" t="n">
        <f aca="false">MIN(10,MAX(0,E17))</f>
        <v>9</v>
      </c>
      <c r="F24" s="35" t="n">
        <v>10</v>
      </c>
    </row>
    <row r="25" customFormat="false" ht="15" hidden="false" customHeight="false" outlineLevel="0" collapsed="false">
      <c r="A25" s="32" t="s">
        <v>191</v>
      </c>
      <c r="B25" s="36" t="n">
        <f aca="false">SUM(B19:B24)</f>
        <v>78</v>
      </c>
      <c r="C25" s="36" t="n">
        <f aca="false">SUM(C19:C24)</f>
        <v>57</v>
      </c>
      <c r="D25" s="36" t="n">
        <f aca="false">SUM(D19:D24)</f>
        <v>26</v>
      </c>
      <c r="E25" s="36" t="n">
        <f aca="false">SUM(E19:E24)</f>
        <v>94</v>
      </c>
      <c r="F25" s="35" t="n">
        <v>100</v>
      </c>
    </row>
    <row r="26" customFormat="false" ht="15" hidden="false" customHeight="false" outlineLevel="0" collapsed="false">
      <c r="A26" s="32" t="s">
        <v>192</v>
      </c>
      <c r="B26" s="36" t="n">
        <f aca="false">IF(B9&lt;&gt;"Habilitado","—",1+SUMPRODUCT(($B$9:$E$9="Habilitado")*(($B$25:$E$25&gt;B25)+($B$25:$E$25=B25)*($B$14:$E$14&gt;B14))))</f>
        <v>1</v>
      </c>
      <c r="C26" s="36" t="n">
        <f aca="false">IF(C9&lt;&gt;"Habilitado","—",1+SUMPRODUCT(($B$9:$E$9="Habilitado")*(($B$25:$E$25&gt;C25)+($B$25:$E$25=C25)*($B$14:$E$14&gt;C14))))</f>
        <v>2</v>
      </c>
      <c r="D26" s="36" t="str">
        <f aca="false">IF(D9&lt;&gt;"Habilitado","—",1+SUMPRODUCT(($B$9:$E$9="Habilitado")*(($B$25:$E$25&gt;D25)+($B$25:$E$25=D25)*($B$14:$E$14&gt;D14))))</f>
        <v>—</v>
      </c>
      <c r="E26" s="36" t="str">
        <f aca="false">IF(E9&lt;&gt;"Habilitado","—",1+SUMPRODUCT(($B$9:$E$9="Habilitado")*(($B$25:$E$25&gt;E25)+($B$25:$E$25=E25)*($B$14:$E$14&gt;E14))))</f>
        <v>—</v>
      </c>
    </row>
    <row r="28" customFormat="false" ht="15" hidden="false" customHeight="false" outlineLevel="0" collapsed="false">
      <c r="A28" s="8" t="s">
        <v>193</v>
      </c>
    </row>
    <row r="29" customFormat="false" ht="15" hidden="false" customHeight="false" outlineLevel="0" collapsed="false">
      <c r="A29" s="8" t="s">
        <v>194</v>
      </c>
    </row>
  </sheetData>
  <conditionalFormatting sqref="B9:E9">
    <cfRule type="cellIs" priority="2" operator="equal" aboveAverage="0" equalAverage="0" bottom="0" percent="0" rank="0" text="" dxfId="8">
      <formula>"Habilitado"</formula>
    </cfRule>
    <cfRule type="cellIs" priority="3" operator="equal" aboveAverage="0" equalAverage="0" bottom="0" percent="0" rank="0" text="" dxfId="10">
      <formula>"No habilitado"</formula>
    </cfRule>
  </conditionalFormatting>
  <dataValidations count="2">
    <dataValidation allowBlank="true" error="Valor no válido" errorStyle="stop" errorTitle="Seleccione un valor de la lista" operator="between" showDropDown="false" showErrorMessage="false" showInputMessage="false" sqref="B6:E8" type="list">
      <formula1>"Sí,No"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B11:E11" type="list">
      <formula1>"Maestría,Especialización,Curso,Ninguno"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N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54"/>
    <col collapsed="false" customWidth="true" hidden="false" outlineLevel="0" max="5" min="5" style="0" width="11"/>
    <col collapsed="false" customWidth="true" hidden="false" outlineLevel="0" max="6" min="6" style="0" width="24"/>
    <col collapsed="false" customWidth="true" hidden="false" outlineLevel="0" max="8" min="7" style="0" width="12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3" min="13" style="0" width="24"/>
  </cols>
  <sheetData>
    <row r="1" customFormat="false" ht="24" hidden="false" customHeight="true" outlineLevel="0" collapsed="false">
      <c r="A1" s="1" t="s">
        <v>195</v>
      </c>
    </row>
    <row r="2" customFormat="false" ht="15" hidden="false" customHeight="false" outlineLevel="0" collapsed="false">
      <c r="A2" s="4" t="s">
        <v>2</v>
      </c>
    </row>
    <row r="3" customFormat="false" ht="15" hidden="false" customHeight="false" outlineLevel="0" collapsed="false">
      <c r="A3" s="5" t="s">
        <v>196</v>
      </c>
    </row>
    <row r="4" customFormat="false" ht="33.75" hidden="false" customHeight="true" outlineLevel="0" collapsed="false">
      <c r="A4" s="12" t="s">
        <v>85</v>
      </c>
      <c r="B4" s="12" t="s">
        <v>86</v>
      </c>
      <c r="C4" s="12" t="s">
        <v>61</v>
      </c>
      <c r="D4" s="12" t="s">
        <v>140</v>
      </c>
      <c r="E4" s="12" t="s">
        <v>197</v>
      </c>
      <c r="F4" s="12" t="s">
        <v>117</v>
      </c>
      <c r="G4" s="12" t="s">
        <v>118</v>
      </c>
      <c r="H4" s="12" t="s">
        <v>119</v>
      </c>
      <c r="I4" s="12" t="s">
        <v>198</v>
      </c>
      <c r="J4" s="12" t="s">
        <v>199</v>
      </c>
      <c r="K4" s="12" t="s">
        <v>200</v>
      </c>
      <c r="M4" s="13" t="s">
        <v>201</v>
      </c>
      <c r="N4" s="13" t="n">
        <f aca="false">COUNTIFS(H5:H60,"&lt;&gt;Cerrado",A5:A60,"&lt;&gt;")</f>
        <v>3</v>
      </c>
    </row>
    <row r="5" customFormat="false" ht="26.85" hidden="false" customHeight="false" outlineLevel="0" collapsed="false">
      <c r="A5" s="15" t="s">
        <v>202</v>
      </c>
      <c r="B5" s="15" t="s">
        <v>203</v>
      </c>
      <c r="C5" s="16" t="n">
        <v>46449</v>
      </c>
      <c r="D5" s="10" t="s">
        <v>204</v>
      </c>
      <c r="E5" s="15" t="s">
        <v>205</v>
      </c>
      <c r="F5" s="15" t="s">
        <v>122</v>
      </c>
      <c r="G5" s="16" t="n">
        <v>46456</v>
      </c>
      <c r="H5" s="15" t="s">
        <v>206</v>
      </c>
      <c r="I5" s="10" t="s">
        <v>207</v>
      </c>
      <c r="J5" s="18" t="str">
        <f aca="false">IF(H5="Cerrado","",Fecha_Cierre_Demo-C5)</f>
        <v/>
      </c>
      <c r="K5" s="37" t="str">
        <f aca="false">IF(H5="Cerrado","Cerrado",IF(Fecha_Cierre_Demo&gt;G5,"Vencido","En plazo"))</f>
        <v>Cerrado</v>
      </c>
      <c r="M5" s="13" t="s">
        <v>208</v>
      </c>
      <c r="N5" s="13" t="n">
        <f aca="false">COUNTIF(K5:K60,"Vencido")</f>
        <v>1</v>
      </c>
    </row>
    <row r="6" customFormat="false" ht="26.85" hidden="false" customHeight="false" outlineLevel="0" collapsed="false">
      <c r="A6" s="15" t="s">
        <v>209</v>
      </c>
      <c r="B6" s="15" t="s">
        <v>210</v>
      </c>
      <c r="C6" s="16" t="n">
        <v>46496</v>
      </c>
      <c r="D6" s="10" t="s">
        <v>211</v>
      </c>
      <c r="E6" s="15" t="s">
        <v>205</v>
      </c>
      <c r="F6" s="15" t="s">
        <v>81</v>
      </c>
      <c r="G6" s="16" t="n">
        <v>46503</v>
      </c>
      <c r="H6" s="15" t="s">
        <v>206</v>
      </c>
      <c r="I6" s="10" t="s">
        <v>212</v>
      </c>
      <c r="J6" s="18" t="str">
        <f aca="false">IF(H6="Cerrado","",Fecha_Cierre_Demo-C6)</f>
        <v/>
      </c>
      <c r="K6" s="37" t="str">
        <f aca="false">IF(H6="Cerrado","Cerrado",IF(Fecha_Cierre_Demo&gt;G6,"Vencido","En plazo"))</f>
        <v>Cerrado</v>
      </c>
      <c r="M6" s="13" t="s">
        <v>213</v>
      </c>
      <c r="N6" s="13" t="n">
        <f aca="false">COUNTIFS(E5:E60,"Alta",H5:H60,"&lt;&gt;Cerrado")</f>
        <v>2</v>
      </c>
    </row>
    <row r="7" customFormat="false" ht="26.85" hidden="false" customHeight="false" outlineLevel="0" collapsed="false">
      <c r="A7" s="15" t="s">
        <v>214</v>
      </c>
      <c r="B7" s="15" t="s">
        <v>215</v>
      </c>
      <c r="C7" s="16" t="n">
        <v>46528</v>
      </c>
      <c r="D7" s="10" t="s">
        <v>216</v>
      </c>
      <c r="E7" s="15" t="s">
        <v>217</v>
      </c>
      <c r="F7" s="15" t="s">
        <v>218</v>
      </c>
      <c r="G7" s="16" t="n">
        <v>46549</v>
      </c>
      <c r="H7" s="15" t="s">
        <v>123</v>
      </c>
      <c r="I7" s="10" t="s">
        <v>219</v>
      </c>
      <c r="J7" s="18" t="n">
        <f aca="false">IF(H7="Cerrado","",Fecha_Cierre_Demo-C7)</f>
        <v>40</v>
      </c>
      <c r="K7" s="37" t="str">
        <f aca="false">IF(H7="Cerrado","Cerrado",IF(Fecha_Cierre_Demo&gt;G7,"Vencido","En plazo"))</f>
        <v>Vencido</v>
      </c>
    </row>
    <row r="8" customFormat="false" ht="15" hidden="false" customHeight="false" outlineLevel="0" collapsed="false">
      <c r="A8" s="15" t="s">
        <v>220</v>
      </c>
      <c r="B8" s="15" t="s">
        <v>221</v>
      </c>
      <c r="C8" s="16" t="n">
        <v>46545</v>
      </c>
      <c r="D8" s="10" t="s">
        <v>222</v>
      </c>
      <c r="E8" s="15" t="s">
        <v>223</v>
      </c>
      <c r="F8" s="15" t="s">
        <v>128</v>
      </c>
      <c r="G8" s="16" t="n">
        <v>46583</v>
      </c>
      <c r="H8" s="15" t="s">
        <v>224</v>
      </c>
      <c r="I8" s="10" t="s">
        <v>225</v>
      </c>
      <c r="J8" s="18" t="n">
        <f aca="false">IF(H8="Cerrado","",Fecha_Cierre_Demo-C8)</f>
        <v>23</v>
      </c>
      <c r="K8" s="37" t="str">
        <f aca="false">IF(H8="Cerrado","Cerrado",IF(Fecha_Cierre_Demo&gt;G8,"Vencido","En plazo"))</f>
        <v>En plazo</v>
      </c>
    </row>
    <row r="9" customFormat="false" ht="26.85" hidden="false" customHeight="false" outlineLevel="0" collapsed="false">
      <c r="A9" s="15" t="s">
        <v>226</v>
      </c>
      <c r="B9" s="15" t="s">
        <v>203</v>
      </c>
      <c r="C9" s="16" t="n">
        <v>46552</v>
      </c>
      <c r="D9" s="10" t="s">
        <v>227</v>
      </c>
      <c r="E9" s="15" t="s">
        <v>217</v>
      </c>
      <c r="F9" s="15" t="s">
        <v>122</v>
      </c>
      <c r="G9" s="16" t="n">
        <v>46573</v>
      </c>
      <c r="H9" s="15" t="s">
        <v>123</v>
      </c>
      <c r="I9" s="10" t="s">
        <v>228</v>
      </c>
      <c r="J9" s="18" t="n">
        <f aca="false">IF(H9="Cerrado","",Fecha_Cierre_Demo-C9)</f>
        <v>16</v>
      </c>
      <c r="K9" s="37" t="str">
        <f aca="false">IF(H9="Cerrado","Cerrado",IF(Fecha_Cierre_Demo&gt;G9,"Vencido","En plazo"))</f>
        <v>En plazo</v>
      </c>
    </row>
  </sheetData>
  <autoFilter ref="A4:K9"/>
  <conditionalFormatting sqref="K5:K60">
    <cfRule type="cellIs" priority="2" operator="equal" aboveAverage="0" equalAverage="0" bottom="0" percent="0" rank="0" text="" dxfId="8">
      <formula>"En plazo"</formula>
    </cfRule>
    <cfRule type="cellIs" priority="3" operator="equal" aboveAverage="0" equalAverage="0" bottom="0" percent="0" rank="0" text="" dxfId="10">
      <formula>"Vencido"</formula>
    </cfRule>
  </conditionalFormatting>
  <conditionalFormatting sqref="E5:E60">
    <cfRule type="cellIs" priority="4" operator="equal" aboveAverage="0" equalAverage="0" bottom="0" percent="0" rank="0" text="" dxfId="8">
      <formula>"Baja"</formula>
    </cfRule>
    <cfRule type="cellIs" priority="5" operator="equal" aboveAverage="0" equalAverage="0" bottom="0" percent="0" rank="0" text="" dxfId="9">
      <formula>"Media"</formula>
    </cfRule>
    <cfRule type="cellIs" priority="6" operator="equal" aboveAverage="0" equalAverage="0" bottom="0" percent="0" rank="0" text="" dxfId="10">
      <formula>"Alta"</formula>
    </cfRule>
  </conditionalFormatting>
  <dataValidations count="3">
    <dataValidation allowBlank="true" error="Valor no válido" errorStyle="stop" errorTitle="Seleccione un valor de la lista" operator="between" showDropDown="false" showErrorMessage="false" showInputMessage="false" sqref="B5:B60" type="list">
      <formula1>"Fiduciario,Adquisiciones,Datos,Cronograma,Ambiental y social,Seguridad de la información,Otro"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E5:E60" type="list">
      <formula1>"Alta,Media,Baja"</formula1>
      <formula2>0</formula2>
    </dataValidation>
    <dataValidation allowBlank="true" error="Valor no válido" errorStyle="stop" errorTitle="Seleccione un valor de la lista" operator="between" showDropDown="false" showErrorMessage="false" showInputMessage="false" sqref="H5:H60" type="list">
      <formula1>"Abierto,En proceso,Cerrado"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6" min="4" style="0" width="50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10" min="10" style="0" width="22"/>
  </cols>
  <sheetData>
    <row r="1" customFormat="false" ht="24" hidden="false" customHeight="true" outlineLevel="0" collapsed="false">
      <c r="A1" s="1" t="s">
        <v>229</v>
      </c>
    </row>
    <row r="2" customFormat="false" ht="15" hidden="false" customHeight="false" outlineLevel="0" collapsed="false">
      <c r="A2" s="4" t="s">
        <v>2</v>
      </c>
    </row>
    <row r="3" customFormat="false" ht="15" hidden="false" customHeight="false" outlineLevel="0" collapsed="false">
      <c r="A3" s="5" t="s">
        <v>230</v>
      </c>
    </row>
    <row r="4" customFormat="false" ht="33.75" hidden="false" customHeight="true" outlineLevel="0" collapsed="false">
      <c r="A4" s="12" t="s">
        <v>85</v>
      </c>
      <c r="B4" s="12" t="s">
        <v>61</v>
      </c>
      <c r="C4" s="12" t="s">
        <v>231</v>
      </c>
      <c r="D4" s="12" t="s">
        <v>232</v>
      </c>
      <c r="E4" s="12" t="s">
        <v>233</v>
      </c>
      <c r="F4" s="12" t="s">
        <v>234</v>
      </c>
      <c r="G4" s="12" t="s">
        <v>117</v>
      </c>
      <c r="H4" s="12" t="s">
        <v>235</v>
      </c>
      <c r="J4" s="13" t="s">
        <v>236</v>
      </c>
      <c r="K4" s="38" t="n">
        <f aca="false">COUNTIF(H5:H60,"Sí")/MAX(1,COUNTA(A5:A60))</f>
        <v>0.5</v>
      </c>
    </row>
    <row r="5" customFormat="false" ht="26.85" hidden="false" customHeight="false" outlineLevel="0" collapsed="false">
      <c r="A5" s="15" t="s">
        <v>237</v>
      </c>
      <c r="B5" s="16" t="n">
        <v>46433</v>
      </c>
      <c r="C5" s="15" t="s">
        <v>238</v>
      </c>
      <c r="D5" s="10" t="s">
        <v>239</v>
      </c>
      <c r="E5" s="10" t="s">
        <v>240</v>
      </c>
      <c r="F5" s="10" t="s">
        <v>241</v>
      </c>
      <c r="G5" s="15" t="s">
        <v>128</v>
      </c>
      <c r="H5" s="15" t="s">
        <v>151</v>
      </c>
    </row>
    <row r="6" customFormat="false" ht="26.85" hidden="false" customHeight="false" outlineLevel="0" collapsed="false">
      <c r="A6" s="15" t="s">
        <v>242</v>
      </c>
      <c r="B6" s="16" t="n">
        <v>46482</v>
      </c>
      <c r="C6" s="15" t="s">
        <v>203</v>
      </c>
      <c r="D6" s="10" t="s">
        <v>243</v>
      </c>
      <c r="E6" s="10" t="s">
        <v>244</v>
      </c>
      <c r="F6" s="10" t="s">
        <v>245</v>
      </c>
      <c r="G6" s="15" t="s">
        <v>122</v>
      </c>
      <c r="H6" s="15" t="s">
        <v>151</v>
      </c>
    </row>
    <row r="7" customFormat="false" ht="26.85" hidden="false" customHeight="false" outlineLevel="0" collapsed="false">
      <c r="A7" s="15" t="s">
        <v>246</v>
      </c>
      <c r="B7" s="16" t="n">
        <v>46525</v>
      </c>
      <c r="C7" s="15" t="s">
        <v>210</v>
      </c>
      <c r="D7" s="10" t="s">
        <v>247</v>
      </c>
      <c r="E7" s="10" t="s">
        <v>248</v>
      </c>
      <c r="F7" s="10" t="s">
        <v>249</v>
      </c>
      <c r="G7" s="15" t="s">
        <v>81</v>
      </c>
      <c r="H7" s="15" t="s">
        <v>159</v>
      </c>
    </row>
    <row r="8" customFormat="false" ht="26.85" hidden="false" customHeight="false" outlineLevel="0" collapsed="false">
      <c r="A8" s="15" t="s">
        <v>250</v>
      </c>
      <c r="B8" s="16" t="n">
        <v>46558</v>
      </c>
      <c r="C8" s="15" t="s">
        <v>251</v>
      </c>
      <c r="D8" s="10" t="s">
        <v>252</v>
      </c>
      <c r="E8" s="10" t="s">
        <v>253</v>
      </c>
      <c r="F8" s="10" t="s">
        <v>254</v>
      </c>
      <c r="G8" s="15" t="s">
        <v>218</v>
      </c>
      <c r="H8" s="15" t="s">
        <v>159</v>
      </c>
    </row>
  </sheetData>
  <autoFilter ref="A4:H8"/>
  <dataValidations count="1">
    <dataValidation allowBlank="true" error="Valor no válido" errorStyle="stop" errorTitle="Seleccione un valor de la lista" operator="between" showDropDown="false" showErrorMessage="false" showInputMessage="false" sqref="H5:H6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  <col collapsed="false" customWidth="true" hidden="false" outlineLevel="0" max="3" min="3" style="0" width="18"/>
  </cols>
  <sheetData>
    <row r="1" customFormat="false" ht="24" hidden="false" customHeight="true" outlineLevel="0" collapsed="false">
      <c r="A1" s="1" t="s">
        <v>255</v>
      </c>
    </row>
    <row r="2" customFormat="false" ht="15" hidden="false" customHeight="false" outlineLevel="0" collapsed="false">
      <c r="A2" s="4" t="s">
        <v>2</v>
      </c>
    </row>
    <row r="3" customFormat="false" ht="15" hidden="false" customHeight="false" outlineLevel="0" collapsed="false">
      <c r="A3" s="5" t="s">
        <v>256</v>
      </c>
    </row>
    <row r="4" customFormat="false" ht="19.5" hidden="false" customHeight="true" outlineLevel="0" collapsed="false">
      <c r="A4" s="9" t="s">
        <v>257</v>
      </c>
      <c r="B4" s="10" t="s">
        <v>258</v>
      </c>
    </row>
    <row r="5" customFormat="false" ht="15" hidden="false" customHeight="false" outlineLevel="0" collapsed="false">
      <c r="A5" s="9" t="s">
        <v>61</v>
      </c>
      <c r="B5" s="11" t="n">
        <v>46477</v>
      </c>
    </row>
    <row r="6" customFormat="false" ht="19.5" hidden="false" customHeight="true" outlineLevel="0" collapsed="false">
      <c r="A6" s="9" t="s">
        <v>62</v>
      </c>
      <c r="B6" s="10" t="s">
        <v>259</v>
      </c>
    </row>
    <row r="7" customFormat="false" ht="30.75" hidden="false" customHeight="true" outlineLevel="0" collapsed="false">
      <c r="A7" s="9" t="s">
        <v>260</v>
      </c>
      <c r="B7" s="10" t="s">
        <v>261</v>
      </c>
    </row>
    <row r="8" customFormat="false" ht="19.5" hidden="false" customHeight="true" outlineLevel="0" collapsed="false">
      <c r="A8" s="9" t="s">
        <v>221</v>
      </c>
      <c r="B8" s="10" t="s">
        <v>262</v>
      </c>
    </row>
    <row r="9" customFormat="false" ht="19.5" hidden="false" customHeight="true" outlineLevel="0" collapsed="false">
      <c r="A9" s="9" t="s">
        <v>263</v>
      </c>
      <c r="B9" s="10" t="s">
        <v>264</v>
      </c>
    </row>
    <row r="10" customFormat="false" ht="19.5" hidden="false" customHeight="true" outlineLevel="0" collapsed="false">
      <c r="A10" s="9" t="s">
        <v>265</v>
      </c>
      <c r="B10" s="10" t="s">
        <v>266</v>
      </c>
    </row>
    <row r="11" customFormat="false" ht="30.75" hidden="false" customHeight="true" outlineLevel="0" collapsed="false">
      <c r="A11" s="9" t="s">
        <v>267</v>
      </c>
      <c r="B11" s="10" t="s">
        <v>268</v>
      </c>
    </row>
    <row r="12" customFormat="false" ht="19.5" hidden="false" customHeight="true" outlineLevel="0" collapsed="false">
      <c r="A12" s="9" t="s">
        <v>269</v>
      </c>
      <c r="B12" s="10" t="s">
        <v>270</v>
      </c>
    </row>
    <row r="14" customFormat="false" ht="15" hidden="false" customHeight="false" outlineLevel="0" collapsed="false">
      <c r="A14" s="19" t="s">
        <v>271</v>
      </c>
      <c r="B14" s="20"/>
      <c r="C14" s="20"/>
    </row>
    <row r="15" customFormat="false" ht="15" hidden="false" customHeight="false" outlineLevel="0" collapsed="false">
      <c r="A15" s="21" t="s">
        <v>163</v>
      </c>
      <c r="B15" s="39" t="s">
        <v>272</v>
      </c>
      <c r="C15" s="39" t="s">
        <v>273</v>
      </c>
    </row>
    <row r="16" customFormat="false" ht="15" hidden="false" customHeight="false" outlineLevel="0" collapsed="false">
      <c r="A16" s="30" t="s">
        <v>274</v>
      </c>
      <c r="B16" s="40" t="n">
        <v>150000</v>
      </c>
      <c r="C16" s="40" t="n">
        <v>144000</v>
      </c>
    </row>
    <row r="17" customFormat="false" ht="15" hidden="false" customHeight="false" outlineLevel="0" collapsed="false">
      <c r="A17" s="30" t="s">
        <v>275</v>
      </c>
      <c r="B17" s="40" t="n">
        <v>90</v>
      </c>
      <c r="C17" s="40" t="n">
        <v>102</v>
      </c>
    </row>
    <row r="18" customFormat="false" ht="15" hidden="false" customHeight="false" outlineLevel="0" collapsed="false">
      <c r="A18" s="30" t="s">
        <v>276</v>
      </c>
      <c r="B18" s="40" t="n">
        <v>8</v>
      </c>
      <c r="C18" s="40" t="n">
        <v>8</v>
      </c>
    </row>
    <row r="19" customFormat="false" ht="15" hidden="false" customHeight="false" outlineLevel="0" collapsed="false">
      <c r="A19" s="13" t="s">
        <v>277</v>
      </c>
      <c r="C19" s="41" t="n">
        <f aca="false">C16-B16</f>
        <v>-6000</v>
      </c>
    </row>
    <row r="20" customFormat="false" ht="15" hidden="false" customHeight="false" outlineLevel="0" collapsed="false">
      <c r="A20" s="13" t="s">
        <v>278</v>
      </c>
      <c r="C20" s="42" t="n">
        <f aca="false">C17-B17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2026-10-20T16:35:32Z</dcterms:created>
  <dc:creator>Jessica Liset Martínez de Águila</dc:creator>
  <dc:description/>
  <dc:language>en-US</dc:language>
  <cp:lastModifiedBy/>
  <dcterms:modified xsi:type="dcterms:W3CDTF">2026-10-20T16:35:32Z</dcterms:modified>
  <cp:revision>0</cp:revision>
  <dc:subject/>
  <dc:title>UGP — Formatos de gestión (DEMO con datos simulados)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